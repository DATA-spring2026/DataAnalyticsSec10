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h\DA_Docs\DataAnalyticsSec10\"/>
    </mc:Choice>
  </mc:AlternateContent>
  <xr:revisionPtr revIDLastSave="0" documentId="8_{A3E42890-536A-49AA-96DB-0F745E8DC562}" xr6:coauthVersionLast="47" xr6:coauthVersionMax="47" xr10:uidLastSave="{00000000-0000-0000-0000-000000000000}"/>
  <bookViews>
    <workbookView xWindow="-19310" yWindow="-5560" windowWidth="19420" windowHeight="10300" xr2:uid="{DB58ADF2-84FE-411B-8080-AA67B044EDE5}"/>
  </bookViews>
  <sheets>
    <sheet name="inventory" sheetId="1" r:id="rId1"/>
    <sheet name="services" sheetId="5" r:id="rId2"/>
    <sheet name="sales" sheetId="4" r:id="rId3"/>
    <sheet name="customer" sheetId="6" r:id="rId4"/>
    <sheet name="service lo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  <c r="I3" i="4"/>
  <c r="F2" i="6"/>
</calcChain>
</file>

<file path=xl/sharedStrings.xml><?xml version="1.0" encoding="utf-8"?>
<sst xmlns="http://schemas.openxmlformats.org/spreadsheetml/2006/main" count="68" uniqueCount="57">
  <si>
    <t>New/Refurbished</t>
  </si>
  <si>
    <t>Date in stock</t>
  </si>
  <si>
    <t>Qty in stock</t>
  </si>
  <si>
    <t>Location</t>
  </si>
  <si>
    <t>Item ID</t>
  </si>
  <si>
    <t>Service Type</t>
  </si>
  <si>
    <t>In-house or customer</t>
  </si>
  <si>
    <t>Model</t>
  </si>
  <si>
    <t>Make</t>
  </si>
  <si>
    <t>Price</t>
  </si>
  <si>
    <t>Cost</t>
  </si>
  <si>
    <t>Discontinued</t>
  </si>
  <si>
    <t>Model Number</t>
  </si>
  <si>
    <t>Inventory ID</t>
  </si>
  <si>
    <t>New</t>
  </si>
  <si>
    <t>A1</t>
  </si>
  <si>
    <t>Toro</t>
  </si>
  <si>
    <t>Red Thunder</t>
  </si>
  <si>
    <t>T56SG1</t>
  </si>
  <si>
    <t>N</t>
  </si>
  <si>
    <t>Time</t>
  </si>
  <si>
    <t>Date</t>
  </si>
  <si>
    <t>Discount %</t>
  </si>
  <si>
    <t>Discount Amount</t>
  </si>
  <si>
    <t>Receipt #</t>
  </si>
  <si>
    <t>Qty</t>
  </si>
  <si>
    <t>Sales Total</t>
  </si>
  <si>
    <t>Store</t>
  </si>
  <si>
    <t>Service ID</t>
  </si>
  <si>
    <t>Service Name</t>
  </si>
  <si>
    <t>Category</t>
  </si>
  <si>
    <t>Warranty?</t>
  </si>
  <si>
    <t>Customer</t>
  </si>
  <si>
    <t>Name</t>
  </si>
  <si>
    <t>CustomerID</t>
  </si>
  <si>
    <t>Phone</t>
  </si>
  <si>
    <t>Email</t>
  </si>
  <si>
    <t>Preferred Contact Method</t>
  </si>
  <si>
    <t>Number of Purchases</t>
  </si>
  <si>
    <t>S251</t>
  </si>
  <si>
    <t>Repair</t>
  </si>
  <si>
    <t>Spark plug issue</t>
  </si>
  <si>
    <t>S256</t>
  </si>
  <si>
    <t>Engine rebuild</t>
  </si>
  <si>
    <t>3:46pm</t>
  </si>
  <si>
    <t>Store01</t>
  </si>
  <si>
    <t>John Doe</t>
  </si>
  <si>
    <t>johnd@custommachines.com</t>
  </si>
  <si>
    <t>Refurbished</t>
  </si>
  <si>
    <t>B2</t>
  </si>
  <si>
    <t>John Deer</t>
  </si>
  <si>
    <t>Green Fancy</t>
  </si>
  <si>
    <t>654-012</t>
  </si>
  <si>
    <t>Y</t>
  </si>
  <si>
    <t>3:50pm</t>
  </si>
  <si>
    <t>C3</t>
  </si>
  <si>
    <t>Spark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</si>
</sst>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@custommachi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7DC0-FCD5-4F90-A909-F33F9F7B36C5}">
  <dimension ref="A1:K4"/>
  <sheetViews>
    <sheetView tabSelected="1" workbookViewId="0">
      <selection activeCell="I5" sqref="I5"/>
    </sheetView>
  </sheetViews>
  <sheetFormatPr defaultRowHeight="15" x14ac:dyDescent="0.25"/>
  <cols>
    <col min="1" max="1" width="11.28515625" bestFit="1" customWidth="1"/>
    <col min="2" max="2" width="16.28515625" bestFit="1" customWidth="1"/>
    <col min="3" max="3" width="12.28515625" bestFit="1" customWidth="1"/>
    <col min="8" max="8" width="14.140625" bestFit="1" customWidth="1"/>
  </cols>
  <sheetData>
    <row r="1" spans="1:11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8</v>
      </c>
      <c r="H1" t="s">
        <v>12</v>
      </c>
      <c r="I1" t="s">
        <v>10</v>
      </c>
      <c r="J1" t="s">
        <v>9</v>
      </c>
      <c r="K1" t="s">
        <v>11</v>
      </c>
    </row>
    <row r="2" spans="1:11" x14ac:dyDescent="0.25">
      <c r="A2">
        <v>5000</v>
      </c>
      <c r="B2" t="s">
        <v>14</v>
      </c>
      <c r="C2" s="1">
        <v>46113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1500</v>
      </c>
      <c r="J2">
        <v>3000</v>
      </c>
      <c r="K2" t="s">
        <v>19</v>
      </c>
    </row>
    <row r="3" spans="1:11" x14ac:dyDescent="0.25">
      <c r="A3">
        <v>5001</v>
      </c>
      <c r="B3" t="s">
        <v>48</v>
      </c>
      <c r="C3" s="1">
        <v>46114</v>
      </c>
      <c r="D3">
        <v>1</v>
      </c>
      <c r="E3" t="s">
        <v>49</v>
      </c>
      <c r="F3" t="s">
        <v>50</v>
      </c>
      <c r="G3" t="s">
        <v>51</v>
      </c>
      <c r="H3" t="s">
        <v>52</v>
      </c>
      <c r="I3">
        <v>750</v>
      </c>
      <c r="J3">
        <v>2000</v>
      </c>
      <c r="K3" t="s">
        <v>53</v>
      </c>
    </row>
    <row r="4" spans="1:11" x14ac:dyDescent="0.25">
      <c r="A4">
        <v>5003</v>
      </c>
      <c r="B4" t="s">
        <v>14</v>
      </c>
      <c r="C4" s="1">
        <v>46110</v>
      </c>
      <c r="D4">
        <v>6</v>
      </c>
      <c r="E4" t="s">
        <v>55</v>
      </c>
      <c r="F4" t="s">
        <v>16</v>
      </c>
      <c r="G4" t="s">
        <v>56</v>
      </c>
      <c r="I4">
        <v>5</v>
      </c>
      <c r="J4">
        <v>10</v>
      </c>
      <c r="K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E116-C896-4799-8AF6-14D47CD1001E}">
  <dimension ref="A1:D3"/>
  <sheetViews>
    <sheetView workbookViewId="0">
      <selection activeCell="A4" sqref="A4"/>
    </sheetView>
  </sheetViews>
  <sheetFormatPr defaultRowHeight="15" x14ac:dyDescent="0.25"/>
  <cols>
    <col min="2" max="2" width="15.5703125" bestFit="1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9</v>
      </c>
    </row>
    <row r="2" spans="1:4" x14ac:dyDescent="0.25">
      <c r="A2" t="s">
        <v>39</v>
      </c>
      <c r="B2" t="s">
        <v>41</v>
      </c>
      <c r="C2" t="s">
        <v>40</v>
      </c>
      <c r="D2">
        <v>10</v>
      </c>
    </row>
    <row r="3" spans="1:4" x14ac:dyDescent="0.25">
      <c r="A3" t="s">
        <v>42</v>
      </c>
      <c r="B3" t="s">
        <v>43</v>
      </c>
      <c r="C3" t="s">
        <v>40</v>
      </c>
      <c r="D3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28A8-C0D4-446E-924E-4BB425277B91}">
  <dimension ref="A1:L3"/>
  <sheetViews>
    <sheetView workbookViewId="0">
      <selection activeCell="B5" sqref="B5"/>
    </sheetView>
  </sheetViews>
  <sheetFormatPr defaultRowHeight="15" x14ac:dyDescent="0.25"/>
  <cols>
    <col min="2" max="3" width="9.5703125" bestFit="1" customWidth="1"/>
    <col min="5" max="5" width="10.85546875" bestFit="1" customWidth="1"/>
    <col min="6" max="6" width="16.28515625" bestFit="1" customWidth="1"/>
    <col min="7" max="7" width="11.28515625" bestFit="1" customWidth="1"/>
    <col min="9" max="9" width="10.5703125" bestFit="1" customWidth="1"/>
  </cols>
  <sheetData>
    <row r="1" spans="1:12" x14ac:dyDescent="0.25">
      <c r="A1" t="s">
        <v>24</v>
      </c>
      <c r="B1" t="s">
        <v>20</v>
      </c>
      <c r="C1" t="s">
        <v>21</v>
      </c>
      <c r="D1" t="s">
        <v>9</v>
      </c>
      <c r="E1" t="s">
        <v>22</v>
      </c>
      <c r="F1" t="s">
        <v>23</v>
      </c>
      <c r="G1" t="s">
        <v>13</v>
      </c>
      <c r="H1" t="s">
        <v>25</v>
      </c>
      <c r="I1" t="s">
        <v>26</v>
      </c>
      <c r="J1" t="s">
        <v>27</v>
      </c>
      <c r="K1" t="s">
        <v>31</v>
      </c>
      <c r="L1" t="s">
        <v>32</v>
      </c>
    </row>
    <row r="2" spans="1:12" x14ac:dyDescent="0.25">
      <c r="A2">
        <v>123</v>
      </c>
      <c r="B2" t="s">
        <v>44</v>
      </c>
      <c r="C2" s="1">
        <v>46125</v>
      </c>
      <c r="D2">
        <v>3000</v>
      </c>
      <c r="E2">
        <v>0</v>
      </c>
      <c r="F2">
        <v>0</v>
      </c>
      <c r="G2">
        <v>5000</v>
      </c>
      <c r="H2">
        <v>1</v>
      </c>
      <c r="I2">
        <f>D2*H2</f>
        <v>3000</v>
      </c>
      <c r="J2" t="s">
        <v>45</v>
      </c>
      <c r="K2" t="s">
        <v>19</v>
      </c>
      <c r="L2">
        <v>1</v>
      </c>
    </row>
    <row r="3" spans="1:12" x14ac:dyDescent="0.25">
      <c r="A3">
        <v>124</v>
      </c>
      <c r="B3" t="s">
        <v>54</v>
      </c>
      <c r="C3" s="1">
        <v>46125</v>
      </c>
      <c r="D3">
        <v>20</v>
      </c>
      <c r="E3">
        <v>0</v>
      </c>
      <c r="F3">
        <v>0</v>
      </c>
      <c r="G3">
        <v>5003</v>
      </c>
      <c r="H3">
        <v>1</v>
      </c>
      <c r="I3">
        <f>D3*H3</f>
        <v>20</v>
      </c>
      <c r="J3" t="s">
        <v>45</v>
      </c>
      <c r="K3" t="s">
        <v>19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4DC0-69AA-4A69-92F8-A300E0C926F7}">
  <dimension ref="A1:F2"/>
  <sheetViews>
    <sheetView workbookViewId="0">
      <selection activeCell="F2" sqref="F2"/>
    </sheetView>
  </sheetViews>
  <sheetFormatPr defaultRowHeight="15" x14ac:dyDescent="0.25"/>
  <cols>
    <col min="2" max="2" width="11.28515625" bestFit="1" customWidth="1"/>
    <col min="3" max="3" width="11.42578125" bestFit="1" customWidth="1"/>
    <col min="5" max="5" width="23.5703125" bestFit="1" customWidth="1"/>
    <col min="6" max="6" width="20.28515625" bestFit="1" customWidth="1"/>
  </cols>
  <sheetData>
    <row r="1" spans="1: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25">
      <c r="A2" t="s">
        <v>46</v>
      </c>
      <c r="B2">
        <v>1</v>
      </c>
      <c r="C2">
        <v>5554121234</v>
      </c>
      <c r="D2" s="2" t="s">
        <v>47</v>
      </c>
      <c r="E2" t="s">
        <v>36</v>
      </c>
      <c r="F2">
        <f>COUNTIF(sales!L:L,customer!B2)</f>
        <v>2</v>
      </c>
    </row>
  </sheetData>
  <hyperlinks>
    <hyperlink ref="D2" r:id="rId1" xr:uid="{E60A57D0-10AA-40D9-A400-4EE72352CD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D9A5-BD27-4DF3-A6D8-567722A264AC}">
  <dimension ref="A1:C1"/>
  <sheetViews>
    <sheetView workbookViewId="0">
      <selection activeCell="A2" sqref="A2"/>
    </sheetView>
  </sheetViews>
  <sheetFormatPr defaultRowHeight="15" x14ac:dyDescent="0.25"/>
  <cols>
    <col min="2" max="2" width="11.5703125" bestFit="1" customWidth="1"/>
    <col min="3" max="3" width="20.140625" bestFit="1" customWidth="1"/>
  </cols>
  <sheetData>
    <row r="1" spans="1:3" x14ac:dyDescent="0.25">
      <c r="A1" t="s">
        <v>4</v>
      </c>
      <c r="B1" t="s">
        <v>5</v>
      </c>
      <c r="C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services</vt:lpstr>
      <vt:lpstr>sales</vt:lpstr>
      <vt:lpstr>customer</vt:lpstr>
      <vt:lpstr>service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Bess Hambleton</cp:lastModifiedBy>
  <dcterms:created xsi:type="dcterms:W3CDTF">2026-04-13T20:17:25Z</dcterms:created>
  <dcterms:modified xsi:type="dcterms:W3CDTF">2026-04-13T22:07:02Z</dcterms:modified>
</cp:coreProperties>
</file>
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zh\DA_Docs\DataAnalyticsSec10\"/>
    </mc:Choice>
  </mc:AlternateContent>
  <xr:revisionPtr revIDLastSave="0" documentId="8_{1720CDEB-B737-4D88-B57F-FCAE33E47838}" xr6:coauthVersionLast="47" xr6:coauthVersionMax="47" xr10:uidLastSave="{00000000-0000-0000-0000-000000000000}"/>
  <bookViews>
    <workbookView xWindow="-19310" yWindow="-5560" windowWidth="19420" windowHeight="10300" xr2:uid="{E3A56F3F-A68D-497E-8170-C8BA5FC0A0AB}"/>
  </bookViews>
  <sheets>
    <sheet name="flat table" sheetId="2" r:id="rId1"/>
    <sheet name="related tabl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3" l="1"/>
  <c r="E30" i="3"/>
  <c r="E29" i="3"/>
  <c r="E28" i="3"/>
  <c r="D29" i="3"/>
  <c r="D28" i="3"/>
  <c r="E13" i="2"/>
  <c r="D13" i="2"/>
  <c r="D14" i="2"/>
  <c r="E14" i="2" s="1"/>
  <c r="D30" i="3"/>
  <c r="D27" i="3"/>
  <c r="D15" i="2"/>
  <c r="E15" i="2" s="1"/>
  <c r="D12" i="2"/>
  <c r="E16" i="2" l="1"/>
</calcChain>
</file>

<file path=xl/sharedStrings.xml><?xml version="1.0" encoding="utf-8"?>
<sst xmlns="http://schemas.openxmlformats.org/spreadsheetml/2006/main" count="103" uniqueCount="43">
  <si>
    <t>Order #</t>
  </si>
  <si>
    <t>Customer</t>
  </si>
  <si>
    <t>Customer Email</t>
  </si>
  <si>
    <t>Employee</t>
  </si>
  <si>
    <t>Employee Email</t>
  </si>
  <si>
    <t>Customer Phone</t>
  </si>
  <si>
    <t>Employee Phone</t>
  </si>
  <si>
    <t>Order Item</t>
  </si>
  <si>
    <t>Order Quantity</t>
  </si>
  <si>
    <t>Ana Castillo</t>
  </si>
  <si>
    <t>Kosal Chhun</t>
  </si>
  <si>
    <t>Tracy Sotos</t>
  </si>
  <si>
    <t>kosal@email</t>
  </si>
  <si>
    <t>ana@email</t>
  </si>
  <si>
    <t>tracy@email</t>
  </si>
  <si>
    <t>123-456-7899</t>
  </si>
  <si>
    <t>123-654-9877</t>
  </si>
  <si>
    <t>123-789-4566</t>
  </si>
  <si>
    <t>123-789-4567</t>
  </si>
  <si>
    <t>Norma Lee</t>
  </si>
  <si>
    <t>Len Olsen</t>
  </si>
  <si>
    <t>norma@email</t>
  </si>
  <si>
    <t>len@email</t>
  </si>
  <si>
    <t>x1234</t>
  </si>
  <si>
    <t>x4567</t>
  </si>
  <si>
    <t>x1235</t>
  </si>
  <si>
    <t>large tent</t>
  </si>
  <si>
    <t>Item Amount</t>
  </si>
  <si>
    <t>small tent</t>
  </si>
  <si>
    <t>table, 6top</t>
  </si>
  <si>
    <t>Order Amount</t>
  </si>
  <si>
    <t>dance floor</t>
  </si>
  <si>
    <t>Customer ID</t>
  </si>
  <si>
    <t>Detail #</t>
  </si>
  <si>
    <t>Order Total</t>
  </si>
  <si>
    <t>Line Amount</t>
  </si>
  <si>
    <t>Employee ID</t>
  </si>
  <si>
    <t>Total number of values stored:</t>
  </si>
  <si>
    <t>Total "quarter" values (orange):</t>
  </si>
  <si>
    <t>Total "nickel" values (blue):</t>
  </si>
  <si>
    <t>Total "penny" values (white):</t>
  </si>
  <si>
    <t>Visualizing the "cost" of memory</t>
  </si>
  <si>
    <t>Visualizing the "cost" of memory - benefits of normalization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</si>
</sst>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43" fontId="0" fillId="0" borderId="0" xfId="1" applyFont="1"/>
    <xf numFmtId="0" fontId="0" fillId="2" borderId="0" xfId="0" applyFill="1"/>
    <xf numFmtId="9" fontId="0" fillId="0" borderId="0" xfId="2" applyFont="1"/>
    <xf numFmtId="43" fontId="0" fillId="0" borderId="0" xfId="1" applyFont="1" applyFill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43" fontId="0" fillId="0" borderId="2" xfId="1" applyFont="1" applyBorder="1"/>
    <xf numFmtId="43" fontId="0" fillId="0" borderId="3" xfId="1" applyFont="1" applyBorder="1"/>
    <xf numFmtId="0" fontId="0" fillId="2" borderId="7" xfId="0" applyFill="1" applyBorder="1"/>
    <xf numFmtId="0" fontId="0" fillId="2" borderId="5" xfId="0" applyFill="1" applyBorder="1"/>
    <xf numFmtId="0" fontId="0" fillId="2" borderId="8" xfId="0" applyFill="1" applyBorder="1"/>
    <xf numFmtId="43" fontId="0" fillId="0" borderId="0" xfId="0" applyNumberFormat="1"/>
    <xf numFmtId="43" fontId="0" fillId="3" borderId="0" xfId="1" applyFont="1" applyFill="1"/>
    <xf numFmtId="43" fontId="0" fillId="3" borderId="5" xfId="1" applyFont="1" applyFill="1" applyBorder="1"/>
    <xf numFmtId="43" fontId="0" fillId="3" borderId="8" xfId="1" applyFont="1" applyFill="1" applyBorder="1"/>
    <xf numFmtId="43" fontId="0" fillId="3" borderId="0" xfId="1" applyFont="1" applyFill="1" applyBorder="1"/>
    <xf numFmtId="43" fontId="0" fillId="3" borderId="7" xfId="1" applyFont="1" applyFill="1" applyBorder="1"/>
    <xf numFmtId="43" fontId="0" fillId="0" borderId="2" xfId="0" applyNumberFormat="1" applyBorder="1"/>
    <xf numFmtId="0" fontId="3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19</xdr:row>
      <xdr:rowOff>28575</xdr:rowOff>
    </xdr:from>
    <xdr:to>
      <xdr:col>0</xdr:col>
      <xdr:colOff>492125</xdr:colOff>
      <xdr:row>19</xdr:row>
      <xdr:rowOff>263525</xdr:rowOff>
    </xdr:to>
    <xdr:pic>
      <xdr:nvPicPr>
        <xdr:cNvPr id="2" name="Picture 1" descr="Penny (United States coin) - Wikipedia">
          <a:extLst>
            <a:ext uri="{FF2B5EF4-FFF2-40B4-BE49-F238E27FC236}">
              <a16:creationId xmlns:a16="http://schemas.microsoft.com/office/drawing/2014/main" id="{8C24D38D-8811-5785-9A05-81F8C282D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34575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257175</xdr:colOff>
      <xdr:row>20</xdr:row>
      <xdr:rowOff>47625</xdr:rowOff>
    </xdr:from>
    <xdr:to>
      <xdr:col>0</xdr:col>
      <xdr:colOff>492125</xdr:colOff>
      <xdr:row>20</xdr:row>
      <xdr:rowOff>282575</xdr:rowOff>
    </xdr:to>
    <xdr:pic>
      <xdr:nvPicPr>
        <xdr:cNvPr id="3" name="Picture 2" descr="Penny (United States coin) - Wikipedia">
          <a:extLst>
            <a:ext uri="{FF2B5EF4-FFF2-40B4-BE49-F238E27FC236}">
              <a16:creationId xmlns:a16="http://schemas.microsoft.com/office/drawing/2014/main" id="{BDE0510E-30D1-40E2-9B50-13F3586BB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37719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257175</xdr:colOff>
      <xdr:row>21</xdr:row>
      <xdr:rowOff>38100</xdr:rowOff>
    </xdr:from>
    <xdr:to>
      <xdr:col>0</xdr:col>
      <xdr:colOff>492125</xdr:colOff>
      <xdr:row>21</xdr:row>
      <xdr:rowOff>266700</xdr:rowOff>
    </xdr:to>
    <xdr:pic>
      <xdr:nvPicPr>
        <xdr:cNvPr id="4" name="Picture 3" descr="Penny (United States coin) - Wikipedia">
          <a:extLst>
            <a:ext uri="{FF2B5EF4-FFF2-40B4-BE49-F238E27FC236}">
              <a16:creationId xmlns:a16="http://schemas.microsoft.com/office/drawing/2014/main" id="{C9D91D2F-A13A-443F-9239-140B2E687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40576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257175</xdr:colOff>
      <xdr:row>22</xdr:row>
      <xdr:rowOff>38100</xdr:rowOff>
    </xdr:from>
    <xdr:to>
      <xdr:col>0</xdr:col>
      <xdr:colOff>492125</xdr:colOff>
      <xdr:row>22</xdr:row>
      <xdr:rowOff>266700</xdr:rowOff>
    </xdr:to>
    <xdr:pic>
      <xdr:nvPicPr>
        <xdr:cNvPr id="5" name="Picture 4" descr="Penny (United States coin) - Wikipedia">
          <a:extLst>
            <a:ext uri="{FF2B5EF4-FFF2-40B4-BE49-F238E27FC236}">
              <a16:creationId xmlns:a16="http://schemas.microsoft.com/office/drawing/2014/main" id="{35513A94-75E2-49FA-8841-7C329D4A1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43529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257175</xdr:colOff>
      <xdr:row>23</xdr:row>
      <xdr:rowOff>38100</xdr:rowOff>
    </xdr:from>
    <xdr:to>
      <xdr:col>0</xdr:col>
      <xdr:colOff>492125</xdr:colOff>
      <xdr:row>23</xdr:row>
      <xdr:rowOff>266700</xdr:rowOff>
    </xdr:to>
    <xdr:pic>
      <xdr:nvPicPr>
        <xdr:cNvPr id="6" name="Picture 5" descr="Penny (United States coin) - Wikipedia">
          <a:extLst>
            <a:ext uri="{FF2B5EF4-FFF2-40B4-BE49-F238E27FC236}">
              <a16:creationId xmlns:a16="http://schemas.microsoft.com/office/drawing/2014/main" id="{8B70BD19-0641-435E-8233-04F3618F2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46482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257175</xdr:colOff>
      <xdr:row>24</xdr:row>
      <xdr:rowOff>38100</xdr:rowOff>
    </xdr:from>
    <xdr:to>
      <xdr:col>0</xdr:col>
      <xdr:colOff>492125</xdr:colOff>
      <xdr:row>24</xdr:row>
      <xdr:rowOff>266700</xdr:rowOff>
    </xdr:to>
    <xdr:pic>
      <xdr:nvPicPr>
        <xdr:cNvPr id="7" name="Picture 6" descr="Penny (United States coin) - Wikipedia">
          <a:extLst>
            <a:ext uri="{FF2B5EF4-FFF2-40B4-BE49-F238E27FC236}">
              <a16:creationId xmlns:a16="http://schemas.microsoft.com/office/drawing/2014/main" id="{9F53EBDF-FB6E-42AF-8CAC-885A996B7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49434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361950</xdr:colOff>
      <xdr:row>19</xdr:row>
      <xdr:rowOff>9525</xdr:rowOff>
    </xdr:from>
    <xdr:to>
      <xdr:col>8</xdr:col>
      <xdr:colOff>627126</xdr:colOff>
      <xdr:row>19</xdr:row>
      <xdr:rowOff>281051</xdr:rowOff>
    </xdr:to>
    <xdr:pic>
      <xdr:nvPicPr>
        <xdr:cNvPr id="8" name="Picture 7" descr="Nickel Series Clarks Unstructured 2004 Our Solutions">
          <a:extLst>
            <a:ext uri="{FF2B5EF4-FFF2-40B4-BE49-F238E27FC236}">
              <a16:creationId xmlns:a16="http://schemas.microsoft.com/office/drawing/2014/main" id="{353421F5-5E4C-E7A6-40FB-28A057C65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9975" y="3438525"/>
          <a:ext cx="265176" cy="265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352425</xdr:colOff>
      <xdr:row>20</xdr:row>
      <xdr:rowOff>0</xdr:rowOff>
    </xdr:from>
    <xdr:to>
      <xdr:col>8</xdr:col>
      <xdr:colOff>623951</xdr:colOff>
      <xdr:row>20</xdr:row>
      <xdr:rowOff>265176</xdr:rowOff>
    </xdr:to>
    <xdr:pic>
      <xdr:nvPicPr>
        <xdr:cNvPr id="9" name="Picture 8" descr="Nickel Series Clarks Unstructured 2004 Our Solutions">
          <a:extLst>
            <a:ext uri="{FF2B5EF4-FFF2-40B4-BE49-F238E27FC236}">
              <a16:creationId xmlns:a16="http://schemas.microsoft.com/office/drawing/2014/main" id="{954E4E49-4F76-4052-9C70-41EA57A16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0450" y="3724275"/>
          <a:ext cx="265176" cy="265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352425</xdr:colOff>
      <xdr:row>21</xdr:row>
      <xdr:rowOff>0</xdr:rowOff>
    </xdr:from>
    <xdr:to>
      <xdr:col>8</xdr:col>
      <xdr:colOff>623951</xdr:colOff>
      <xdr:row>21</xdr:row>
      <xdr:rowOff>265176</xdr:rowOff>
    </xdr:to>
    <xdr:pic>
      <xdr:nvPicPr>
        <xdr:cNvPr id="10" name="Picture 9" descr="Nickel Series Clarks Unstructured 2004 Our Solutions">
          <a:extLst>
            <a:ext uri="{FF2B5EF4-FFF2-40B4-BE49-F238E27FC236}">
              <a16:creationId xmlns:a16="http://schemas.microsoft.com/office/drawing/2014/main" id="{14594676-C923-4277-A16B-1B3B051F4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0450" y="4019550"/>
          <a:ext cx="265176" cy="265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352425</xdr:colOff>
      <xdr:row>22</xdr:row>
      <xdr:rowOff>0</xdr:rowOff>
    </xdr:from>
    <xdr:to>
      <xdr:col>8</xdr:col>
      <xdr:colOff>623951</xdr:colOff>
      <xdr:row>22</xdr:row>
      <xdr:rowOff>265176</xdr:rowOff>
    </xdr:to>
    <xdr:pic>
      <xdr:nvPicPr>
        <xdr:cNvPr id="11" name="Picture 10" descr="Nickel Series Clarks Unstructured 2004 Our Solutions">
          <a:extLst>
            <a:ext uri="{FF2B5EF4-FFF2-40B4-BE49-F238E27FC236}">
              <a16:creationId xmlns:a16="http://schemas.microsoft.com/office/drawing/2014/main" id="{3B0B5B3C-32BC-4C6E-8D46-51FB3E64C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0450" y="4314825"/>
          <a:ext cx="265176" cy="265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352425</xdr:colOff>
      <xdr:row>23</xdr:row>
      <xdr:rowOff>0</xdr:rowOff>
    </xdr:from>
    <xdr:to>
      <xdr:col>8</xdr:col>
      <xdr:colOff>623951</xdr:colOff>
      <xdr:row>23</xdr:row>
      <xdr:rowOff>265176</xdr:rowOff>
    </xdr:to>
    <xdr:pic>
      <xdr:nvPicPr>
        <xdr:cNvPr id="12" name="Picture 11" descr="Nickel Series Clarks Unstructured 2004 Our Solutions">
          <a:extLst>
            <a:ext uri="{FF2B5EF4-FFF2-40B4-BE49-F238E27FC236}">
              <a16:creationId xmlns:a16="http://schemas.microsoft.com/office/drawing/2014/main" id="{C59B3B86-6012-4D11-B129-4141D2B62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0450" y="4610100"/>
          <a:ext cx="265176" cy="265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352425</xdr:colOff>
      <xdr:row>24</xdr:row>
      <xdr:rowOff>0</xdr:rowOff>
    </xdr:from>
    <xdr:to>
      <xdr:col>8</xdr:col>
      <xdr:colOff>623951</xdr:colOff>
      <xdr:row>24</xdr:row>
      <xdr:rowOff>265176</xdr:rowOff>
    </xdr:to>
    <xdr:pic>
      <xdr:nvPicPr>
        <xdr:cNvPr id="13" name="Picture 12" descr="Nickel Series Clarks Unstructured 2004 Our Solutions">
          <a:extLst>
            <a:ext uri="{FF2B5EF4-FFF2-40B4-BE49-F238E27FC236}">
              <a16:creationId xmlns:a16="http://schemas.microsoft.com/office/drawing/2014/main" id="{B61FB440-515A-4EA7-9A00-7B84981CC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0450" y="4905375"/>
          <a:ext cx="265176" cy="265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647700</xdr:colOff>
      <xdr:row>19</xdr:row>
      <xdr:rowOff>28575</xdr:rowOff>
    </xdr:from>
    <xdr:to>
      <xdr:col>9</xdr:col>
      <xdr:colOff>876300</xdr:colOff>
      <xdr:row>19</xdr:row>
      <xdr:rowOff>263525</xdr:rowOff>
    </xdr:to>
    <xdr:pic>
      <xdr:nvPicPr>
        <xdr:cNvPr id="14" name="Picture 13" descr="Penny (United States coin) - Wikipedia">
          <a:extLst>
            <a:ext uri="{FF2B5EF4-FFF2-40B4-BE49-F238E27FC236}">
              <a16:creationId xmlns:a16="http://schemas.microsoft.com/office/drawing/2014/main" id="{61ACF109-E3E0-4F5E-9DDD-601F44FC8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0125" y="34575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647700</xdr:colOff>
      <xdr:row>20</xdr:row>
      <xdr:rowOff>47625</xdr:rowOff>
    </xdr:from>
    <xdr:to>
      <xdr:col>9</xdr:col>
      <xdr:colOff>876300</xdr:colOff>
      <xdr:row>20</xdr:row>
      <xdr:rowOff>282575</xdr:rowOff>
    </xdr:to>
    <xdr:pic>
      <xdr:nvPicPr>
        <xdr:cNvPr id="15" name="Picture 14" descr="Penny (United States coin) - Wikipedia">
          <a:extLst>
            <a:ext uri="{FF2B5EF4-FFF2-40B4-BE49-F238E27FC236}">
              <a16:creationId xmlns:a16="http://schemas.microsoft.com/office/drawing/2014/main" id="{00D3E945-00FA-4A38-9461-10386EAA1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0125" y="37719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647700</xdr:colOff>
      <xdr:row>21</xdr:row>
      <xdr:rowOff>38100</xdr:rowOff>
    </xdr:from>
    <xdr:to>
      <xdr:col>9</xdr:col>
      <xdr:colOff>876300</xdr:colOff>
      <xdr:row>21</xdr:row>
      <xdr:rowOff>266700</xdr:rowOff>
    </xdr:to>
    <xdr:pic>
      <xdr:nvPicPr>
        <xdr:cNvPr id="16" name="Picture 15" descr="Penny (United States coin) - Wikipedia">
          <a:extLst>
            <a:ext uri="{FF2B5EF4-FFF2-40B4-BE49-F238E27FC236}">
              <a16:creationId xmlns:a16="http://schemas.microsoft.com/office/drawing/2014/main" id="{78D5046B-7DEB-437A-B60D-2835F7614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0125" y="40576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647700</xdr:colOff>
      <xdr:row>22</xdr:row>
      <xdr:rowOff>38100</xdr:rowOff>
    </xdr:from>
    <xdr:to>
      <xdr:col>9</xdr:col>
      <xdr:colOff>876300</xdr:colOff>
      <xdr:row>22</xdr:row>
      <xdr:rowOff>266700</xdr:rowOff>
    </xdr:to>
    <xdr:pic>
      <xdr:nvPicPr>
        <xdr:cNvPr id="17" name="Picture 16" descr="Penny (United States coin) - Wikipedia">
          <a:extLst>
            <a:ext uri="{FF2B5EF4-FFF2-40B4-BE49-F238E27FC236}">
              <a16:creationId xmlns:a16="http://schemas.microsoft.com/office/drawing/2014/main" id="{286FE001-1536-4BF3-862D-BAD1F4FF3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0125" y="43529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647700</xdr:colOff>
      <xdr:row>23</xdr:row>
      <xdr:rowOff>38100</xdr:rowOff>
    </xdr:from>
    <xdr:to>
      <xdr:col>9</xdr:col>
      <xdr:colOff>876300</xdr:colOff>
      <xdr:row>23</xdr:row>
      <xdr:rowOff>266700</xdr:rowOff>
    </xdr:to>
    <xdr:pic>
      <xdr:nvPicPr>
        <xdr:cNvPr id="18" name="Picture 17" descr="Penny (United States coin) - Wikipedia">
          <a:extLst>
            <a:ext uri="{FF2B5EF4-FFF2-40B4-BE49-F238E27FC236}">
              <a16:creationId xmlns:a16="http://schemas.microsoft.com/office/drawing/2014/main" id="{0ED6738D-4166-426E-98D3-A7E41915A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0125" y="46482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647700</xdr:colOff>
      <xdr:row>24</xdr:row>
      <xdr:rowOff>38100</xdr:rowOff>
    </xdr:from>
    <xdr:to>
      <xdr:col>9</xdr:col>
      <xdr:colOff>876300</xdr:colOff>
      <xdr:row>24</xdr:row>
      <xdr:rowOff>266700</xdr:rowOff>
    </xdr:to>
    <xdr:pic>
      <xdr:nvPicPr>
        <xdr:cNvPr id="19" name="Picture 18" descr="Penny (United States coin) - Wikipedia">
          <a:extLst>
            <a:ext uri="{FF2B5EF4-FFF2-40B4-BE49-F238E27FC236}">
              <a16:creationId xmlns:a16="http://schemas.microsoft.com/office/drawing/2014/main" id="{D391485F-9540-46BC-A081-46627075A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0125" y="49434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685800</xdr:colOff>
      <xdr:row>19</xdr:row>
      <xdr:rowOff>28575</xdr:rowOff>
    </xdr:from>
    <xdr:to>
      <xdr:col>10</xdr:col>
      <xdr:colOff>950976</xdr:colOff>
      <xdr:row>20</xdr:row>
      <xdr:rowOff>1651</xdr:rowOff>
    </xdr:to>
    <xdr:pic>
      <xdr:nvPicPr>
        <xdr:cNvPr id="20" name="Picture 19" descr="Nickel Series Clarks Unstructured 2004 Our Solutions">
          <a:extLst>
            <a:ext uri="{FF2B5EF4-FFF2-40B4-BE49-F238E27FC236}">
              <a16:creationId xmlns:a16="http://schemas.microsoft.com/office/drawing/2014/main" id="{B1A3A8A4-F458-4530-9260-CEC28055C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91675" y="3457575"/>
          <a:ext cx="265176" cy="265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676275</xdr:colOff>
      <xdr:row>20</xdr:row>
      <xdr:rowOff>19050</xdr:rowOff>
    </xdr:from>
    <xdr:to>
      <xdr:col>10</xdr:col>
      <xdr:colOff>947801</xdr:colOff>
      <xdr:row>20</xdr:row>
      <xdr:rowOff>284226</xdr:rowOff>
    </xdr:to>
    <xdr:pic>
      <xdr:nvPicPr>
        <xdr:cNvPr id="21" name="Picture 20" descr="Nickel Series Clarks Unstructured 2004 Our Solutions">
          <a:extLst>
            <a:ext uri="{FF2B5EF4-FFF2-40B4-BE49-F238E27FC236}">
              <a16:creationId xmlns:a16="http://schemas.microsoft.com/office/drawing/2014/main" id="{C2D0DB93-924D-4C1B-9B58-EDB142BF3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82150" y="3743325"/>
          <a:ext cx="265176" cy="265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676275</xdr:colOff>
      <xdr:row>21</xdr:row>
      <xdr:rowOff>19050</xdr:rowOff>
    </xdr:from>
    <xdr:to>
      <xdr:col>10</xdr:col>
      <xdr:colOff>947801</xdr:colOff>
      <xdr:row>21</xdr:row>
      <xdr:rowOff>284226</xdr:rowOff>
    </xdr:to>
    <xdr:pic>
      <xdr:nvPicPr>
        <xdr:cNvPr id="22" name="Picture 21" descr="Nickel Series Clarks Unstructured 2004 Our Solutions">
          <a:extLst>
            <a:ext uri="{FF2B5EF4-FFF2-40B4-BE49-F238E27FC236}">
              <a16:creationId xmlns:a16="http://schemas.microsoft.com/office/drawing/2014/main" id="{485A9B94-1D75-439D-A4D6-79112ACC9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82150" y="4038600"/>
          <a:ext cx="265176" cy="265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676275</xdr:colOff>
      <xdr:row>22</xdr:row>
      <xdr:rowOff>19050</xdr:rowOff>
    </xdr:from>
    <xdr:to>
      <xdr:col>10</xdr:col>
      <xdr:colOff>947801</xdr:colOff>
      <xdr:row>22</xdr:row>
      <xdr:rowOff>284226</xdr:rowOff>
    </xdr:to>
    <xdr:pic>
      <xdr:nvPicPr>
        <xdr:cNvPr id="23" name="Picture 22" descr="Nickel Series Clarks Unstructured 2004 Our Solutions">
          <a:extLst>
            <a:ext uri="{FF2B5EF4-FFF2-40B4-BE49-F238E27FC236}">
              <a16:creationId xmlns:a16="http://schemas.microsoft.com/office/drawing/2014/main" id="{A44C0D8B-BC8A-47CA-B1AD-C828AA18D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82150" y="4333875"/>
          <a:ext cx="265176" cy="265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676275</xdr:colOff>
      <xdr:row>23</xdr:row>
      <xdr:rowOff>19050</xdr:rowOff>
    </xdr:from>
    <xdr:to>
      <xdr:col>10</xdr:col>
      <xdr:colOff>947801</xdr:colOff>
      <xdr:row>23</xdr:row>
      <xdr:rowOff>284226</xdr:rowOff>
    </xdr:to>
    <xdr:pic>
      <xdr:nvPicPr>
        <xdr:cNvPr id="24" name="Picture 23" descr="Nickel Series Clarks Unstructured 2004 Our Solutions">
          <a:extLst>
            <a:ext uri="{FF2B5EF4-FFF2-40B4-BE49-F238E27FC236}">
              <a16:creationId xmlns:a16="http://schemas.microsoft.com/office/drawing/2014/main" id="{5730A9D6-B551-4231-885A-62C57010A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82150" y="4629150"/>
          <a:ext cx="265176" cy="265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676275</xdr:colOff>
      <xdr:row>24</xdr:row>
      <xdr:rowOff>19050</xdr:rowOff>
    </xdr:from>
    <xdr:to>
      <xdr:col>10</xdr:col>
      <xdr:colOff>947801</xdr:colOff>
      <xdr:row>24</xdr:row>
      <xdr:rowOff>284226</xdr:rowOff>
    </xdr:to>
    <xdr:pic>
      <xdr:nvPicPr>
        <xdr:cNvPr id="25" name="Picture 24" descr="Nickel Series Clarks Unstructured 2004 Our Solutions">
          <a:extLst>
            <a:ext uri="{FF2B5EF4-FFF2-40B4-BE49-F238E27FC236}">
              <a16:creationId xmlns:a16="http://schemas.microsoft.com/office/drawing/2014/main" id="{30A34933-4B89-43DF-BF6B-BB9936AA7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82150" y="4924425"/>
          <a:ext cx="265176" cy="265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523875</xdr:colOff>
      <xdr:row>19</xdr:row>
      <xdr:rowOff>19050</xdr:rowOff>
    </xdr:from>
    <xdr:to>
      <xdr:col>11</xdr:col>
      <xdr:colOff>795401</xdr:colOff>
      <xdr:row>19</xdr:row>
      <xdr:rowOff>284226</xdr:rowOff>
    </xdr:to>
    <xdr:pic>
      <xdr:nvPicPr>
        <xdr:cNvPr id="26" name="Picture 25" descr="Nickel Series Clarks Unstructured 2004 Our Solutions">
          <a:extLst>
            <a:ext uri="{FF2B5EF4-FFF2-40B4-BE49-F238E27FC236}">
              <a16:creationId xmlns:a16="http://schemas.microsoft.com/office/drawing/2014/main" id="{61D7EF6C-29CF-4AB6-906D-B7BAAD78B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0350" y="3448050"/>
          <a:ext cx="265176" cy="265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514350</xdr:colOff>
      <xdr:row>20</xdr:row>
      <xdr:rowOff>9525</xdr:rowOff>
    </xdr:from>
    <xdr:to>
      <xdr:col>11</xdr:col>
      <xdr:colOff>779526</xdr:colOff>
      <xdr:row>20</xdr:row>
      <xdr:rowOff>281051</xdr:rowOff>
    </xdr:to>
    <xdr:pic>
      <xdr:nvPicPr>
        <xdr:cNvPr id="27" name="Picture 26" descr="Nickel Series Clarks Unstructured 2004 Our Solutions">
          <a:extLst>
            <a:ext uri="{FF2B5EF4-FFF2-40B4-BE49-F238E27FC236}">
              <a16:creationId xmlns:a16="http://schemas.microsoft.com/office/drawing/2014/main" id="{9E8AB019-7B77-41A6-A1C2-4EE1B344C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3733800"/>
          <a:ext cx="265176" cy="265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514350</xdr:colOff>
      <xdr:row>21</xdr:row>
      <xdr:rowOff>9525</xdr:rowOff>
    </xdr:from>
    <xdr:to>
      <xdr:col>11</xdr:col>
      <xdr:colOff>779526</xdr:colOff>
      <xdr:row>21</xdr:row>
      <xdr:rowOff>281051</xdr:rowOff>
    </xdr:to>
    <xdr:pic>
      <xdr:nvPicPr>
        <xdr:cNvPr id="28" name="Picture 27" descr="Nickel Series Clarks Unstructured 2004 Our Solutions">
          <a:extLst>
            <a:ext uri="{FF2B5EF4-FFF2-40B4-BE49-F238E27FC236}">
              <a16:creationId xmlns:a16="http://schemas.microsoft.com/office/drawing/2014/main" id="{E779DE69-41FD-48DE-AF5C-FE80B2B95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4029075"/>
          <a:ext cx="265176" cy="265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514350</xdr:colOff>
      <xdr:row>22</xdr:row>
      <xdr:rowOff>9525</xdr:rowOff>
    </xdr:from>
    <xdr:to>
      <xdr:col>11</xdr:col>
      <xdr:colOff>779526</xdr:colOff>
      <xdr:row>22</xdr:row>
      <xdr:rowOff>281051</xdr:rowOff>
    </xdr:to>
    <xdr:pic>
      <xdr:nvPicPr>
        <xdr:cNvPr id="29" name="Picture 28" descr="Nickel Series Clarks Unstructured 2004 Our Solutions">
          <a:extLst>
            <a:ext uri="{FF2B5EF4-FFF2-40B4-BE49-F238E27FC236}">
              <a16:creationId xmlns:a16="http://schemas.microsoft.com/office/drawing/2014/main" id="{CCCA2196-51D7-465A-9D4F-724C598C7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4324350"/>
          <a:ext cx="265176" cy="265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514350</xdr:colOff>
      <xdr:row>23</xdr:row>
      <xdr:rowOff>9525</xdr:rowOff>
    </xdr:from>
    <xdr:to>
      <xdr:col>11</xdr:col>
      <xdr:colOff>779526</xdr:colOff>
      <xdr:row>23</xdr:row>
      <xdr:rowOff>281051</xdr:rowOff>
    </xdr:to>
    <xdr:pic>
      <xdr:nvPicPr>
        <xdr:cNvPr id="30" name="Picture 29" descr="Nickel Series Clarks Unstructured 2004 Our Solutions">
          <a:extLst>
            <a:ext uri="{FF2B5EF4-FFF2-40B4-BE49-F238E27FC236}">
              <a16:creationId xmlns:a16="http://schemas.microsoft.com/office/drawing/2014/main" id="{CA2CA5BD-9800-4C17-9A32-1ADA8AB36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4619625"/>
          <a:ext cx="265176" cy="265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514350</xdr:colOff>
      <xdr:row>24</xdr:row>
      <xdr:rowOff>9525</xdr:rowOff>
    </xdr:from>
    <xdr:to>
      <xdr:col>11</xdr:col>
      <xdr:colOff>779526</xdr:colOff>
      <xdr:row>24</xdr:row>
      <xdr:rowOff>281051</xdr:rowOff>
    </xdr:to>
    <xdr:pic>
      <xdr:nvPicPr>
        <xdr:cNvPr id="31" name="Picture 30" descr="Nickel Series Clarks Unstructured 2004 Our Solutions">
          <a:extLst>
            <a:ext uri="{FF2B5EF4-FFF2-40B4-BE49-F238E27FC236}">
              <a16:creationId xmlns:a16="http://schemas.microsoft.com/office/drawing/2014/main" id="{3DB474EA-12A2-458D-B574-AAFEFC240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4914900"/>
          <a:ext cx="265176" cy="265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19</xdr:row>
      <xdr:rowOff>9525</xdr:rowOff>
    </xdr:from>
    <xdr:to>
      <xdr:col>2</xdr:col>
      <xdr:colOff>607695</xdr:colOff>
      <xdr:row>19</xdr:row>
      <xdr:rowOff>283845</xdr:rowOff>
    </xdr:to>
    <xdr:pic>
      <xdr:nvPicPr>
        <xdr:cNvPr id="32" name="Picture 31" descr="Quarter dollar - Wikipedia">
          <a:extLst>
            <a:ext uri="{FF2B5EF4-FFF2-40B4-BE49-F238E27FC236}">
              <a16:creationId xmlns:a16="http://schemas.microsoft.com/office/drawing/2014/main" id="{160F9C70-FC2B-3F74-0505-B2030AC4B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3438525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20</xdr:row>
      <xdr:rowOff>9525</xdr:rowOff>
    </xdr:from>
    <xdr:to>
      <xdr:col>2</xdr:col>
      <xdr:colOff>607695</xdr:colOff>
      <xdr:row>20</xdr:row>
      <xdr:rowOff>283845</xdr:rowOff>
    </xdr:to>
    <xdr:pic>
      <xdr:nvPicPr>
        <xdr:cNvPr id="33" name="Picture 32" descr="Quarter dollar - Wikipedia">
          <a:extLst>
            <a:ext uri="{FF2B5EF4-FFF2-40B4-BE49-F238E27FC236}">
              <a16:creationId xmlns:a16="http://schemas.microsoft.com/office/drawing/2014/main" id="{49B50050-2352-42A9-A96F-D784733C1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3733800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21</xdr:row>
      <xdr:rowOff>9525</xdr:rowOff>
    </xdr:from>
    <xdr:to>
      <xdr:col>2</xdr:col>
      <xdr:colOff>607695</xdr:colOff>
      <xdr:row>21</xdr:row>
      <xdr:rowOff>283845</xdr:rowOff>
    </xdr:to>
    <xdr:pic>
      <xdr:nvPicPr>
        <xdr:cNvPr id="34" name="Picture 33" descr="Quarter dollar - Wikipedia">
          <a:extLst>
            <a:ext uri="{FF2B5EF4-FFF2-40B4-BE49-F238E27FC236}">
              <a16:creationId xmlns:a16="http://schemas.microsoft.com/office/drawing/2014/main" id="{0544473A-8622-4EFD-9E86-D4C8429BE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4029075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22</xdr:row>
      <xdr:rowOff>9525</xdr:rowOff>
    </xdr:from>
    <xdr:to>
      <xdr:col>2</xdr:col>
      <xdr:colOff>607695</xdr:colOff>
      <xdr:row>22</xdr:row>
      <xdr:rowOff>283845</xdr:rowOff>
    </xdr:to>
    <xdr:pic>
      <xdr:nvPicPr>
        <xdr:cNvPr id="35" name="Picture 34" descr="Quarter dollar - Wikipedia">
          <a:extLst>
            <a:ext uri="{FF2B5EF4-FFF2-40B4-BE49-F238E27FC236}">
              <a16:creationId xmlns:a16="http://schemas.microsoft.com/office/drawing/2014/main" id="{472659E6-AB9A-45BC-B840-158B2297E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4324350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23</xdr:row>
      <xdr:rowOff>9525</xdr:rowOff>
    </xdr:from>
    <xdr:to>
      <xdr:col>2</xdr:col>
      <xdr:colOff>607695</xdr:colOff>
      <xdr:row>23</xdr:row>
      <xdr:rowOff>283845</xdr:rowOff>
    </xdr:to>
    <xdr:pic>
      <xdr:nvPicPr>
        <xdr:cNvPr id="36" name="Picture 35" descr="Quarter dollar - Wikipedia">
          <a:extLst>
            <a:ext uri="{FF2B5EF4-FFF2-40B4-BE49-F238E27FC236}">
              <a16:creationId xmlns:a16="http://schemas.microsoft.com/office/drawing/2014/main" id="{74F0D71A-E88B-4846-BA9F-81721F1BA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4619625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24</xdr:row>
      <xdr:rowOff>9525</xdr:rowOff>
    </xdr:from>
    <xdr:to>
      <xdr:col>2</xdr:col>
      <xdr:colOff>607695</xdr:colOff>
      <xdr:row>24</xdr:row>
      <xdr:rowOff>283845</xdr:rowOff>
    </xdr:to>
    <xdr:pic>
      <xdr:nvPicPr>
        <xdr:cNvPr id="37" name="Picture 36" descr="Quarter dollar - Wikipedia">
          <a:extLst>
            <a:ext uri="{FF2B5EF4-FFF2-40B4-BE49-F238E27FC236}">
              <a16:creationId xmlns:a16="http://schemas.microsoft.com/office/drawing/2014/main" id="{6713E04E-2222-440C-BAAB-4B342317A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4914900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371475</xdr:colOff>
      <xdr:row>19</xdr:row>
      <xdr:rowOff>9525</xdr:rowOff>
    </xdr:from>
    <xdr:to>
      <xdr:col>1</xdr:col>
      <xdr:colOff>645795</xdr:colOff>
      <xdr:row>19</xdr:row>
      <xdr:rowOff>283845</xdr:rowOff>
    </xdr:to>
    <xdr:pic>
      <xdr:nvPicPr>
        <xdr:cNvPr id="38" name="Picture 37" descr="Quarter dollar - Wikipedia">
          <a:extLst>
            <a:ext uri="{FF2B5EF4-FFF2-40B4-BE49-F238E27FC236}">
              <a16:creationId xmlns:a16="http://schemas.microsoft.com/office/drawing/2014/main" id="{C6258B8F-D7E7-4363-A95F-3C9C76503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3438525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381000</xdr:colOff>
      <xdr:row>20</xdr:row>
      <xdr:rowOff>9525</xdr:rowOff>
    </xdr:from>
    <xdr:to>
      <xdr:col>1</xdr:col>
      <xdr:colOff>664845</xdr:colOff>
      <xdr:row>20</xdr:row>
      <xdr:rowOff>283845</xdr:rowOff>
    </xdr:to>
    <xdr:pic>
      <xdr:nvPicPr>
        <xdr:cNvPr id="39" name="Picture 38" descr="Quarter dollar - Wikipedia">
          <a:extLst>
            <a:ext uri="{FF2B5EF4-FFF2-40B4-BE49-F238E27FC236}">
              <a16:creationId xmlns:a16="http://schemas.microsoft.com/office/drawing/2014/main" id="{7011DC36-8AC9-4018-9BFD-DED5B90E2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733800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381000</xdr:colOff>
      <xdr:row>21</xdr:row>
      <xdr:rowOff>9525</xdr:rowOff>
    </xdr:from>
    <xdr:to>
      <xdr:col>1</xdr:col>
      <xdr:colOff>664845</xdr:colOff>
      <xdr:row>21</xdr:row>
      <xdr:rowOff>283845</xdr:rowOff>
    </xdr:to>
    <xdr:pic>
      <xdr:nvPicPr>
        <xdr:cNvPr id="40" name="Picture 39" descr="Quarter dollar - Wikipedia">
          <a:extLst>
            <a:ext uri="{FF2B5EF4-FFF2-40B4-BE49-F238E27FC236}">
              <a16:creationId xmlns:a16="http://schemas.microsoft.com/office/drawing/2014/main" id="{CFD728F7-46A9-4768-A58A-FA71A8980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4029075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381000</xdr:colOff>
      <xdr:row>22</xdr:row>
      <xdr:rowOff>9525</xdr:rowOff>
    </xdr:from>
    <xdr:to>
      <xdr:col>1</xdr:col>
      <xdr:colOff>664845</xdr:colOff>
      <xdr:row>22</xdr:row>
      <xdr:rowOff>283845</xdr:rowOff>
    </xdr:to>
    <xdr:pic>
      <xdr:nvPicPr>
        <xdr:cNvPr id="41" name="Picture 40" descr="Quarter dollar - Wikipedia">
          <a:extLst>
            <a:ext uri="{FF2B5EF4-FFF2-40B4-BE49-F238E27FC236}">
              <a16:creationId xmlns:a16="http://schemas.microsoft.com/office/drawing/2014/main" id="{99E27160-F194-4E75-AB72-8978A3788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4324350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381000</xdr:colOff>
      <xdr:row>23</xdr:row>
      <xdr:rowOff>9525</xdr:rowOff>
    </xdr:from>
    <xdr:to>
      <xdr:col>1</xdr:col>
      <xdr:colOff>664845</xdr:colOff>
      <xdr:row>23</xdr:row>
      <xdr:rowOff>283845</xdr:rowOff>
    </xdr:to>
    <xdr:pic>
      <xdr:nvPicPr>
        <xdr:cNvPr id="42" name="Picture 41" descr="Quarter dollar - Wikipedia">
          <a:extLst>
            <a:ext uri="{FF2B5EF4-FFF2-40B4-BE49-F238E27FC236}">
              <a16:creationId xmlns:a16="http://schemas.microsoft.com/office/drawing/2014/main" id="{CBA3B2E9-351E-4733-A870-FADD838B1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4619625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381000</xdr:colOff>
      <xdr:row>24</xdr:row>
      <xdr:rowOff>9525</xdr:rowOff>
    </xdr:from>
    <xdr:to>
      <xdr:col>1</xdr:col>
      <xdr:colOff>664845</xdr:colOff>
      <xdr:row>24</xdr:row>
      <xdr:rowOff>283845</xdr:rowOff>
    </xdr:to>
    <xdr:pic>
      <xdr:nvPicPr>
        <xdr:cNvPr id="43" name="Picture 42" descr="Quarter dollar - Wikipedia">
          <a:extLst>
            <a:ext uri="{FF2B5EF4-FFF2-40B4-BE49-F238E27FC236}">
              <a16:creationId xmlns:a16="http://schemas.microsoft.com/office/drawing/2014/main" id="{529A09A1-EFFF-4D2B-A73C-FD4A34B11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4914900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323850</xdr:colOff>
      <xdr:row>19</xdr:row>
      <xdr:rowOff>9525</xdr:rowOff>
    </xdr:from>
    <xdr:to>
      <xdr:col>3</xdr:col>
      <xdr:colOff>607695</xdr:colOff>
      <xdr:row>19</xdr:row>
      <xdr:rowOff>283845</xdr:rowOff>
    </xdr:to>
    <xdr:pic>
      <xdr:nvPicPr>
        <xdr:cNvPr id="44" name="Picture 43" descr="Quarter dollar - Wikipedia">
          <a:extLst>
            <a:ext uri="{FF2B5EF4-FFF2-40B4-BE49-F238E27FC236}">
              <a16:creationId xmlns:a16="http://schemas.microsoft.com/office/drawing/2014/main" id="{E506400F-5FA3-4D69-B83D-B7CFE87CD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8425" y="3438525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323850</xdr:colOff>
      <xdr:row>20</xdr:row>
      <xdr:rowOff>9525</xdr:rowOff>
    </xdr:from>
    <xdr:to>
      <xdr:col>3</xdr:col>
      <xdr:colOff>607695</xdr:colOff>
      <xdr:row>20</xdr:row>
      <xdr:rowOff>283845</xdr:rowOff>
    </xdr:to>
    <xdr:pic>
      <xdr:nvPicPr>
        <xdr:cNvPr id="45" name="Picture 44" descr="Quarter dollar - Wikipedia">
          <a:extLst>
            <a:ext uri="{FF2B5EF4-FFF2-40B4-BE49-F238E27FC236}">
              <a16:creationId xmlns:a16="http://schemas.microsoft.com/office/drawing/2014/main" id="{47712C4A-060C-452E-91D8-6ED0F878D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8425" y="3733800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323850</xdr:colOff>
      <xdr:row>21</xdr:row>
      <xdr:rowOff>9525</xdr:rowOff>
    </xdr:from>
    <xdr:to>
      <xdr:col>3</xdr:col>
      <xdr:colOff>607695</xdr:colOff>
      <xdr:row>21</xdr:row>
      <xdr:rowOff>283845</xdr:rowOff>
    </xdr:to>
    <xdr:pic>
      <xdr:nvPicPr>
        <xdr:cNvPr id="46" name="Picture 45" descr="Quarter dollar - Wikipedia">
          <a:extLst>
            <a:ext uri="{FF2B5EF4-FFF2-40B4-BE49-F238E27FC236}">
              <a16:creationId xmlns:a16="http://schemas.microsoft.com/office/drawing/2014/main" id="{0135A56C-7B78-40E2-81A1-31DED0492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8425" y="4029075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323850</xdr:colOff>
      <xdr:row>22</xdr:row>
      <xdr:rowOff>9525</xdr:rowOff>
    </xdr:from>
    <xdr:to>
      <xdr:col>3</xdr:col>
      <xdr:colOff>607695</xdr:colOff>
      <xdr:row>22</xdr:row>
      <xdr:rowOff>283845</xdr:rowOff>
    </xdr:to>
    <xdr:pic>
      <xdr:nvPicPr>
        <xdr:cNvPr id="47" name="Picture 46" descr="Quarter dollar - Wikipedia">
          <a:extLst>
            <a:ext uri="{FF2B5EF4-FFF2-40B4-BE49-F238E27FC236}">
              <a16:creationId xmlns:a16="http://schemas.microsoft.com/office/drawing/2014/main" id="{C6B965B4-1AFA-409B-883C-C9FE9C657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8425" y="4324350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323850</xdr:colOff>
      <xdr:row>23</xdr:row>
      <xdr:rowOff>9525</xdr:rowOff>
    </xdr:from>
    <xdr:to>
      <xdr:col>3</xdr:col>
      <xdr:colOff>607695</xdr:colOff>
      <xdr:row>23</xdr:row>
      <xdr:rowOff>283845</xdr:rowOff>
    </xdr:to>
    <xdr:pic>
      <xdr:nvPicPr>
        <xdr:cNvPr id="48" name="Picture 47" descr="Quarter dollar - Wikipedia">
          <a:extLst>
            <a:ext uri="{FF2B5EF4-FFF2-40B4-BE49-F238E27FC236}">
              <a16:creationId xmlns:a16="http://schemas.microsoft.com/office/drawing/2014/main" id="{5F857335-37EB-4959-8B40-6CA7C7E99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8425" y="4619625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323850</xdr:colOff>
      <xdr:row>24</xdr:row>
      <xdr:rowOff>9525</xdr:rowOff>
    </xdr:from>
    <xdr:to>
      <xdr:col>3</xdr:col>
      <xdr:colOff>607695</xdr:colOff>
      <xdr:row>24</xdr:row>
      <xdr:rowOff>283845</xdr:rowOff>
    </xdr:to>
    <xdr:pic>
      <xdr:nvPicPr>
        <xdr:cNvPr id="49" name="Picture 48" descr="Quarter dollar - Wikipedia">
          <a:extLst>
            <a:ext uri="{FF2B5EF4-FFF2-40B4-BE49-F238E27FC236}">
              <a16:creationId xmlns:a16="http://schemas.microsoft.com/office/drawing/2014/main" id="{6185BAE6-B3B4-46E6-974B-6AFADE7F1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8425" y="4914900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323850</xdr:colOff>
      <xdr:row>19</xdr:row>
      <xdr:rowOff>9525</xdr:rowOff>
    </xdr:from>
    <xdr:to>
      <xdr:col>4</xdr:col>
      <xdr:colOff>607695</xdr:colOff>
      <xdr:row>19</xdr:row>
      <xdr:rowOff>283845</xdr:rowOff>
    </xdr:to>
    <xdr:pic>
      <xdr:nvPicPr>
        <xdr:cNvPr id="50" name="Picture 49" descr="Quarter dollar - Wikipedia">
          <a:extLst>
            <a:ext uri="{FF2B5EF4-FFF2-40B4-BE49-F238E27FC236}">
              <a16:creationId xmlns:a16="http://schemas.microsoft.com/office/drawing/2014/main" id="{FFB0B602-EE33-4E7D-AD3B-25E85758A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3438525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323850</xdr:colOff>
      <xdr:row>20</xdr:row>
      <xdr:rowOff>9525</xdr:rowOff>
    </xdr:from>
    <xdr:to>
      <xdr:col>4</xdr:col>
      <xdr:colOff>607695</xdr:colOff>
      <xdr:row>20</xdr:row>
      <xdr:rowOff>283845</xdr:rowOff>
    </xdr:to>
    <xdr:pic>
      <xdr:nvPicPr>
        <xdr:cNvPr id="51" name="Picture 50" descr="Quarter dollar - Wikipedia">
          <a:extLst>
            <a:ext uri="{FF2B5EF4-FFF2-40B4-BE49-F238E27FC236}">
              <a16:creationId xmlns:a16="http://schemas.microsoft.com/office/drawing/2014/main" id="{E16CB441-1A89-4AE8-81B8-BC0901BF7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3733800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323850</xdr:colOff>
      <xdr:row>21</xdr:row>
      <xdr:rowOff>9525</xdr:rowOff>
    </xdr:from>
    <xdr:to>
      <xdr:col>4</xdr:col>
      <xdr:colOff>607695</xdr:colOff>
      <xdr:row>21</xdr:row>
      <xdr:rowOff>283845</xdr:rowOff>
    </xdr:to>
    <xdr:pic>
      <xdr:nvPicPr>
        <xdr:cNvPr id="52" name="Picture 51" descr="Quarter dollar - Wikipedia">
          <a:extLst>
            <a:ext uri="{FF2B5EF4-FFF2-40B4-BE49-F238E27FC236}">
              <a16:creationId xmlns:a16="http://schemas.microsoft.com/office/drawing/2014/main" id="{CABA2096-1FF1-4D48-B636-91B4648BF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4029075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323850</xdr:colOff>
      <xdr:row>22</xdr:row>
      <xdr:rowOff>9525</xdr:rowOff>
    </xdr:from>
    <xdr:to>
      <xdr:col>4</xdr:col>
      <xdr:colOff>607695</xdr:colOff>
      <xdr:row>22</xdr:row>
      <xdr:rowOff>283845</xdr:rowOff>
    </xdr:to>
    <xdr:pic>
      <xdr:nvPicPr>
        <xdr:cNvPr id="53" name="Picture 52" descr="Quarter dollar - Wikipedia">
          <a:extLst>
            <a:ext uri="{FF2B5EF4-FFF2-40B4-BE49-F238E27FC236}">
              <a16:creationId xmlns:a16="http://schemas.microsoft.com/office/drawing/2014/main" id="{97877C00-425C-4066-8D67-87795BDDE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4324350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323850</xdr:colOff>
      <xdr:row>23</xdr:row>
      <xdr:rowOff>9525</xdr:rowOff>
    </xdr:from>
    <xdr:to>
      <xdr:col>4</xdr:col>
      <xdr:colOff>607695</xdr:colOff>
      <xdr:row>23</xdr:row>
      <xdr:rowOff>283845</xdr:rowOff>
    </xdr:to>
    <xdr:pic>
      <xdr:nvPicPr>
        <xdr:cNvPr id="54" name="Picture 53" descr="Quarter dollar - Wikipedia">
          <a:extLst>
            <a:ext uri="{FF2B5EF4-FFF2-40B4-BE49-F238E27FC236}">
              <a16:creationId xmlns:a16="http://schemas.microsoft.com/office/drawing/2014/main" id="{3EBA2260-BEF4-4C3A-95D1-CF45C82B7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4619625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323850</xdr:colOff>
      <xdr:row>24</xdr:row>
      <xdr:rowOff>9525</xdr:rowOff>
    </xdr:from>
    <xdr:to>
      <xdr:col>4</xdr:col>
      <xdr:colOff>607695</xdr:colOff>
      <xdr:row>24</xdr:row>
      <xdr:rowOff>283845</xdr:rowOff>
    </xdr:to>
    <xdr:pic>
      <xdr:nvPicPr>
        <xdr:cNvPr id="55" name="Picture 54" descr="Quarter dollar - Wikipedia">
          <a:extLst>
            <a:ext uri="{FF2B5EF4-FFF2-40B4-BE49-F238E27FC236}">
              <a16:creationId xmlns:a16="http://schemas.microsoft.com/office/drawing/2014/main" id="{41A1237D-9431-4801-BD51-BD9F7F702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4914900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323850</xdr:colOff>
      <xdr:row>19</xdr:row>
      <xdr:rowOff>9525</xdr:rowOff>
    </xdr:from>
    <xdr:to>
      <xdr:col>5</xdr:col>
      <xdr:colOff>607695</xdr:colOff>
      <xdr:row>19</xdr:row>
      <xdr:rowOff>283845</xdr:rowOff>
    </xdr:to>
    <xdr:pic>
      <xdr:nvPicPr>
        <xdr:cNvPr id="56" name="Picture 55" descr="Quarter dollar - Wikipedia">
          <a:extLst>
            <a:ext uri="{FF2B5EF4-FFF2-40B4-BE49-F238E27FC236}">
              <a16:creationId xmlns:a16="http://schemas.microsoft.com/office/drawing/2014/main" id="{18E2E952-1ABD-4553-913D-E8DB02189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3438525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323850</xdr:colOff>
      <xdr:row>20</xdr:row>
      <xdr:rowOff>9525</xdr:rowOff>
    </xdr:from>
    <xdr:to>
      <xdr:col>5</xdr:col>
      <xdr:colOff>607695</xdr:colOff>
      <xdr:row>20</xdr:row>
      <xdr:rowOff>283845</xdr:rowOff>
    </xdr:to>
    <xdr:pic>
      <xdr:nvPicPr>
        <xdr:cNvPr id="57" name="Picture 56" descr="Quarter dollar - Wikipedia">
          <a:extLst>
            <a:ext uri="{FF2B5EF4-FFF2-40B4-BE49-F238E27FC236}">
              <a16:creationId xmlns:a16="http://schemas.microsoft.com/office/drawing/2014/main" id="{CD575B0D-0234-4D56-83F8-FFADD1F5C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3733800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323850</xdr:colOff>
      <xdr:row>21</xdr:row>
      <xdr:rowOff>9525</xdr:rowOff>
    </xdr:from>
    <xdr:to>
      <xdr:col>5</xdr:col>
      <xdr:colOff>607695</xdr:colOff>
      <xdr:row>21</xdr:row>
      <xdr:rowOff>283845</xdr:rowOff>
    </xdr:to>
    <xdr:pic>
      <xdr:nvPicPr>
        <xdr:cNvPr id="58" name="Picture 57" descr="Quarter dollar - Wikipedia">
          <a:extLst>
            <a:ext uri="{FF2B5EF4-FFF2-40B4-BE49-F238E27FC236}">
              <a16:creationId xmlns:a16="http://schemas.microsoft.com/office/drawing/2014/main" id="{3BA566AA-6CA1-448E-905F-A2191F9C8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4029075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323850</xdr:colOff>
      <xdr:row>22</xdr:row>
      <xdr:rowOff>9525</xdr:rowOff>
    </xdr:from>
    <xdr:to>
      <xdr:col>5</xdr:col>
      <xdr:colOff>607695</xdr:colOff>
      <xdr:row>22</xdr:row>
      <xdr:rowOff>283845</xdr:rowOff>
    </xdr:to>
    <xdr:pic>
      <xdr:nvPicPr>
        <xdr:cNvPr id="59" name="Picture 58" descr="Quarter dollar - Wikipedia">
          <a:extLst>
            <a:ext uri="{FF2B5EF4-FFF2-40B4-BE49-F238E27FC236}">
              <a16:creationId xmlns:a16="http://schemas.microsoft.com/office/drawing/2014/main" id="{C2768D45-C7F9-4704-9A65-68858AA3C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4324350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323850</xdr:colOff>
      <xdr:row>23</xdr:row>
      <xdr:rowOff>9525</xdr:rowOff>
    </xdr:from>
    <xdr:to>
      <xdr:col>5</xdr:col>
      <xdr:colOff>607695</xdr:colOff>
      <xdr:row>23</xdr:row>
      <xdr:rowOff>283845</xdr:rowOff>
    </xdr:to>
    <xdr:pic>
      <xdr:nvPicPr>
        <xdr:cNvPr id="60" name="Picture 59" descr="Quarter dollar - Wikipedia">
          <a:extLst>
            <a:ext uri="{FF2B5EF4-FFF2-40B4-BE49-F238E27FC236}">
              <a16:creationId xmlns:a16="http://schemas.microsoft.com/office/drawing/2014/main" id="{0FA7DD77-7D39-4111-A9DE-11A79B0DB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4619625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323850</xdr:colOff>
      <xdr:row>24</xdr:row>
      <xdr:rowOff>9525</xdr:rowOff>
    </xdr:from>
    <xdr:to>
      <xdr:col>5</xdr:col>
      <xdr:colOff>607695</xdr:colOff>
      <xdr:row>24</xdr:row>
      <xdr:rowOff>283845</xdr:rowOff>
    </xdr:to>
    <xdr:pic>
      <xdr:nvPicPr>
        <xdr:cNvPr id="61" name="Picture 60" descr="Quarter dollar - Wikipedia">
          <a:extLst>
            <a:ext uri="{FF2B5EF4-FFF2-40B4-BE49-F238E27FC236}">
              <a16:creationId xmlns:a16="http://schemas.microsoft.com/office/drawing/2014/main" id="{484370BB-F4B8-4577-A1C2-00D303C7E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4914900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323850</xdr:colOff>
      <xdr:row>19</xdr:row>
      <xdr:rowOff>9525</xdr:rowOff>
    </xdr:from>
    <xdr:to>
      <xdr:col>6</xdr:col>
      <xdr:colOff>607695</xdr:colOff>
      <xdr:row>19</xdr:row>
      <xdr:rowOff>283845</xdr:rowOff>
    </xdr:to>
    <xdr:pic>
      <xdr:nvPicPr>
        <xdr:cNvPr id="62" name="Picture 61" descr="Quarter dollar - Wikipedia">
          <a:extLst>
            <a:ext uri="{FF2B5EF4-FFF2-40B4-BE49-F238E27FC236}">
              <a16:creationId xmlns:a16="http://schemas.microsoft.com/office/drawing/2014/main" id="{2BFAB711-8372-44A0-BE00-8C562E090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0225" y="3438525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323850</xdr:colOff>
      <xdr:row>20</xdr:row>
      <xdr:rowOff>9525</xdr:rowOff>
    </xdr:from>
    <xdr:to>
      <xdr:col>6</xdr:col>
      <xdr:colOff>607695</xdr:colOff>
      <xdr:row>20</xdr:row>
      <xdr:rowOff>283845</xdr:rowOff>
    </xdr:to>
    <xdr:pic>
      <xdr:nvPicPr>
        <xdr:cNvPr id="63" name="Picture 62" descr="Quarter dollar - Wikipedia">
          <a:extLst>
            <a:ext uri="{FF2B5EF4-FFF2-40B4-BE49-F238E27FC236}">
              <a16:creationId xmlns:a16="http://schemas.microsoft.com/office/drawing/2014/main" id="{1A131E6D-A131-49B1-9514-38BE8BC82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0225" y="3733800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323850</xdr:colOff>
      <xdr:row>21</xdr:row>
      <xdr:rowOff>9525</xdr:rowOff>
    </xdr:from>
    <xdr:to>
      <xdr:col>6</xdr:col>
      <xdr:colOff>607695</xdr:colOff>
      <xdr:row>21</xdr:row>
      <xdr:rowOff>283845</xdr:rowOff>
    </xdr:to>
    <xdr:pic>
      <xdr:nvPicPr>
        <xdr:cNvPr id="64" name="Picture 63" descr="Quarter dollar - Wikipedia">
          <a:extLst>
            <a:ext uri="{FF2B5EF4-FFF2-40B4-BE49-F238E27FC236}">
              <a16:creationId xmlns:a16="http://schemas.microsoft.com/office/drawing/2014/main" id="{E21D9684-8DEA-4898-A169-6C31964A7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0225" y="4029075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323850</xdr:colOff>
      <xdr:row>22</xdr:row>
      <xdr:rowOff>9525</xdr:rowOff>
    </xdr:from>
    <xdr:to>
      <xdr:col>6</xdr:col>
      <xdr:colOff>607695</xdr:colOff>
      <xdr:row>22</xdr:row>
      <xdr:rowOff>283845</xdr:rowOff>
    </xdr:to>
    <xdr:pic>
      <xdr:nvPicPr>
        <xdr:cNvPr id="65" name="Picture 64" descr="Quarter dollar - Wikipedia">
          <a:extLst>
            <a:ext uri="{FF2B5EF4-FFF2-40B4-BE49-F238E27FC236}">
              <a16:creationId xmlns:a16="http://schemas.microsoft.com/office/drawing/2014/main" id="{8F5C4E36-D5E9-44A5-953F-88ED24E9D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0225" y="4324350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323850</xdr:colOff>
      <xdr:row>23</xdr:row>
      <xdr:rowOff>9525</xdr:rowOff>
    </xdr:from>
    <xdr:to>
      <xdr:col>6</xdr:col>
      <xdr:colOff>607695</xdr:colOff>
      <xdr:row>23</xdr:row>
      <xdr:rowOff>283845</xdr:rowOff>
    </xdr:to>
    <xdr:pic>
      <xdr:nvPicPr>
        <xdr:cNvPr id="66" name="Picture 65" descr="Quarter dollar - Wikipedia">
          <a:extLst>
            <a:ext uri="{FF2B5EF4-FFF2-40B4-BE49-F238E27FC236}">
              <a16:creationId xmlns:a16="http://schemas.microsoft.com/office/drawing/2014/main" id="{B4812F31-7941-4D2D-B6AD-EF66D49D7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0225" y="4619625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323850</xdr:colOff>
      <xdr:row>24</xdr:row>
      <xdr:rowOff>9525</xdr:rowOff>
    </xdr:from>
    <xdr:to>
      <xdr:col>6</xdr:col>
      <xdr:colOff>607695</xdr:colOff>
      <xdr:row>24</xdr:row>
      <xdr:rowOff>283845</xdr:rowOff>
    </xdr:to>
    <xdr:pic>
      <xdr:nvPicPr>
        <xdr:cNvPr id="67" name="Picture 66" descr="Quarter dollar - Wikipedia">
          <a:extLst>
            <a:ext uri="{FF2B5EF4-FFF2-40B4-BE49-F238E27FC236}">
              <a16:creationId xmlns:a16="http://schemas.microsoft.com/office/drawing/2014/main" id="{3371F962-D3FE-4F17-8A60-DDB1F6EA3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0225" y="4914900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323850</xdr:colOff>
      <xdr:row>19</xdr:row>
      <xdr:rowOff>9525</xdr:rowOff>
    </xdr:from>
    <xdr:to>
      <xdr:col>7</xdr:col>
      <xdr:colOff>607695</xdr:colOff>
      <xdr:row>19</xdr:row>
      <xdr:rowOff>283845</xdr:rowOff>
    </xdr:to>
    <xdr:pic>
      <xdr:nvPicPr>
        <xdr:cNvPr id="68" name="Picture 67" descr="Quarter dollar - Wikipedia">
          <a:extLst>
            <a:ext uri="{FF2B5EF4-FFF2-40B4-BE49-F238E27FC236}">
              <a16:creationId xmlns:a16="http://schemas.microsoft.com/office/drawing/2014/main" id="{81029DEA-1058-4B3F-8B0C-9D56C4AE5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450" y="3438525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323850</xdr:colOff>
      <xdr:row>20</xdr:row>
      <xdr:rowOff>9525</xdr:rowOff>
    </xdr:from>
    <xdr:to>
      <xdr:col>7</xdr:col>
      <xdr:colOff>607695</xdr:colOff>
      <xdr:row>20</xdr:row>
      <xdr:rowOff>283845</xdr:rowOff>
    </xdr:to>
    <xdr:pic>
      <xdr:nvPicPr>
        <xdr:cNvPr id="69" name="Picture 68" descr="Quarter dollar - Wikipedia">
          <a:extLst>
            <a:ext uri="{FF2B5EF4-FFF2-40B4-BE49-F238E27FC236}">
              <a16:creationId xmlns:a16="http://schemas.microsoft.com/office/drawing/2014/main" id="{EDF4D138-96BD-4AFC-B78B-E119DBA75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450" y="3733800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323850</xdr:colOff>
      <xdr:row>21</xdr:row>
      <xdr:rowOff>9525</xdr:rowOff>
    </xdr:from>
    <xdr:to>
      <xdr:col>7</xdr:col>
      <xdr:colOff>607695</xdr:colOff>
      <xdr:row>21</xdr:row>
      <xdr:rowOff>283845</xdr:rowOff>
    </xdr:to>
    <xdr:pic>
      <xdr:nvPicPr>
        <xdr:cNvPr id="70" name="Picture 69" descr="Quarter dollar - Wikipedia">
          <a:extLst>
            <a:ext uri="{FF2B5EF4-FFF2-40B4-BE49-F238E27FC236}">
              <a16:creationId xmlns:a16="http://schemas.microsoft.com/office/drawing/2014/main" id="{D9CAC1F7-2527-44A8-83CA-AEF89D1F3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450" y="4029075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323850</xdr:colOff>
      <xdr:row>22</xdr:row>
      <xdr:rowOff>9525</xdr:rowOff>
    </xdr:from>
    <xdr:to>
      <xdr:col>7</xdr:col>
      <xdr:colOff>607695</xdr:colOff>
      <xdr:row>22</xdr:row>
      <xdr:rowOff>283845</xdr:rowOff>
    </xdr:to>
    <xdr:pic>
      <xdr:nvPicPr>
        <xdr:cNvPr id="71" name="Picture 70" descr="Quarter dollar - Wikipedia">
          <a:extLst>
            <a:ext uri="{FF2B5EF4-FFF2-40B4-BE49-F238E27FC236}">
              <a16:creationId xmlns:a16="http://schemas.microsoft.com/office/drawing/2014/main" id="{E0144B5E-881F-40B2-8937-E0EA93DCC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450" y="4324350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323850</xdr:colOff>
      <xdr:row>23</xdr:row>
      <xdr:rowOff>9525</xdr:rowOff>
    </xdr:from>
    <xdr:to>
      <xdr:col>7</xdr:col>
      <xdr:colOff>607695</xdr:colOff>
      <xdr:row>23</xdr:row>
      <xdr:rowOff>283845</xdr:rowOff>
    </xdr:to>
    <xdr:pic>
      <xdr:nvPicPr>
        <xdr:cNvPr id="72" name="Picture 71" descr="Quarter dollar - Wikipedia">
          <a:extLst>
            <a:ext uri="{FF2B5EF4-FFF2-40B4-BE49-F238E27FC236}">
              <a16:creationId xmlns:a16="http://schemas.microsoft.com/office/drawing/2014/main" id="{99370C2D-AE28-4CFD-8D6D-B7B0998F8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450" y="4619625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323850</xdr:colOff>
      <xdr:row>24</xdr:row>
      <xdr:rowOff>9525</xdr:rowOff>
    </xdr:from>
    <xdr:to>
      <xdr:col>7</xdr:col>
      <xdr:colOff>607695</xdr:colOff>
      <xdr:row>24</xdr:row>
      <xdr:rowOff>283845</xdr:rowOff>
    </xdr:to>
    <xdr:pic>
      <xdr:nvPicPr>
        <xdr:cNvPr id="73" name="Picture 72" descr="Quarter dollar - Wikipedia">
          <a:extLst>
            <a:ext uri="{FF2B5EF4-FFF2-40B4-BE49-F238E27FC236}">
              <a16:creationId xmlns:a16="http://schemas.microsoft.com/office/drawing/2014/main" id="{C09FEB19-DC16-4360-B18B-7F132A12F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450" y="4914900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53D1-CF08-4BE8-A694-5CCD3E8549DA}">
  <dimension ref="A1:M26"/>
  <sheetViews>
    <sheetView tabSelected="1" workbookViewId="0">
      <selection activeCell="G7" sqref="G7"/>
    </sheetView>
  </sheetViews>
  <sheetFormatPr defaultRowHeight="15" x14ac:dyDescent="0.25"/>
  <cols>
    <col min="1" max="1" width="7.5703125" bestFit="1" customWidth="1"/>
    <col min="2" max="2" width="12.140625" bestFit="1" customWidth="1"/>
    <col min="3" max="3" width="15" bestFit="1" customWidth="1"/>
    <col min="4" max="4" width="15.5703125" bestFit="1" customWidth="1"/>
    <col min="5" max="5" width="14" bestFit="1" customWidth="1"/>
    <col min="6" max="6" width="15" bestFit="1" customWidth="1"/>
    <col min="7" max="7" width="15.5703125" bestFit="1" customWidth="1"/>
    <col min="8" max="8" width="11" bestFit="1" customWidth="1"/>
    <col min="9" max="9" width="13.7109375" style="1" bestFit="1" customWidth="1"/>
    <col min="10" max="10" width="14" bestFit="1" customWidth="1"/>
    <col min="11" max="11" width="14.85546875" style="1" bestFit="1" customWidth="1"/>
    <col min="12" max="12" width="12.28515625" style="1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6</v>
      </c>
      <c r="H1" t="s">
        <v>7</v>
      </c>
      <c r="I1" s="4" t="s">
        <v>27</v>
      </c>
      <c r="J1" t="s">
        <v>8</v>
      </c>
      <c r="K1" s="4" t="s">
        <v>30</v>
      </c>
      <c r="L1" s="4" t="s">
        <v>34</v>
      </c>
    </row>
    <row r="2" spans="1:12" x14ac:dyDescent="0.25">
      <c r="A2">
        <v>1</v>
      </c>
      <c r="B2" s="2" t="s">
        <v>10</v>
      </c>
      <c r="C2" s="2" t="s">
        <v>12</v>
      </c>
      <c r="D2" s="2" t="s">
        <v>15</v>
      </c>
      <c r="E2" s="2" t="s">
        <v>19</v>
      </c>
      <c r="F2" s="2" t="s">
        <v>21</v>
      </c>
      <c r="G2" s="2" t="s">
        <v>23</v>
      </c>
      <c r="H2" s="2" t="s">
        <v>26</v>
      </c>
      <c r="I2" s="18">
        <v>899</v>
      </c>
      <c r="J2">
        <v>1</v>
      </c>
      <c r="K2" s="18">
        <v>899</v>
      </c>
      <c r="L2" s="18">
        <v>899</v>
      </c>
    </row>
    <row r="3" spans="1:12" x14ac:dyDescent="0.25">
      <c r="A3">
        <v>2</v>
      </c>
      <c r="B3" s="2" t="s">
        <v>9</v>
      </c>
      <c r="C3" s="2" t="s">
        <v>13</v>
      </c>
      <c r="D3" s="2" t="s">
        <v>16</v>
      </c>
      <c r="E3" s="2" t="s">
        <v>20</v>
      </c>
      <c r="F3" s="2" t="s">
        <v>22</v>
      </c>
      <c r="G3" s="2" t="s">
        <v>24</v>
      </c>
      <c r="H3" s="2" t="s">
        <v>28</v>
      </c>
      <c r="I3" s="18">
        <v>699</v>
      </c>
      <c r="J3">
        <v>1</v>
      </c>
      <c r="K3" s="18">
        <v>699</v>
      </c>
      <c r="L3" s="18">
        <v>849</v>
      </c>
    </row>
    <row r="4" spans="1:12" x14ac:dyDescent="0.25">
      <c r="A4">
        <v>2</v>
      </c>
      <c r="B4" s="2" t="s">
        <v>9</v>
      </c>
      <c r="C4" s="2" t="s">
        <v>13</v>
      </c>
      <c r="D4" s="2" t="s">
        <v>16</v>
      </c>
      <c r="E4" s="2" t="s">
        <v>20</v>
      </c>
      <c r="F4" s="2" t="s">
        <v>22</v>
      </c>
      <c r="G4" s="2" t="s">
        <v>24</v>
      </c>
      <c r="H4" s="2" t="s">
        <v>29</v>
      </c>
      <c r="I4" s="18">
        <v>50</v>
      </c>
      <c r="J4">
        <v>3</v>
      </c>
      <c r="K4" s="18">
        <v>150</v>
      </c>
      <c r="L4" s="18">
        <v>849</v>
      </c>
    </row>
    <row r="5" spans="1:12" x14ac:dyDescent="0.25">
      <c r="A5">
        <v>3</v>
      </c>
      <c r="B5" s="2" t="s">
        <v>9</v>
      </c>
      <c r="C5" s="2" t="s">
        <v>13</v>
      </c>
      <c r="D5" s="2" t="s">
        <v>16</v>
      </c>
      <c r="E5" s="2" t="s">
        <v>20</v>
      </c>
      <c r="F5" s="2" t="s">
        <v>22</v>
      </c>
      <c r="G5" s="2" t="s">
        <v>24</v>
      </c>
      <c r="H5" s="2" t="s">
        <v>26</v>
      </c>
      <c r="I5" s="18">
        <v>899</v>
      </c>
      <c r="J5">
        <v>1</v>
      </c>
      <c r="K5" s="18">
        <v>899</v>
      </c>
      <c r="L5" s="18">
        <v>1799</v>
      </c>
    </row>
    <row r="6" spans="1:12" x14ac:dyDescent="0.25">
      <c r="A6">
        <v>3</v>
      </c>
      <c r="B6" s="2" t="s">
        <v>11</v>
      </c>
      <c r="C6" s="2" t="s">
        <v>14</v>
      </c>
      <c r="D6" s="2" t="s">
        <v>17</v>
      </c>
      <c r="E6" s="2" t="s">
        <v>19</v>
      </c>
      <c r="F6" s="2" t="s">
        <v>21</v>
      </c>
      <c r="G6" s="2" t="s">
        <v>25</v>
      </c>
      <c r="H6" s="2" t="s">
        <v>29</v>
      </c>
      <c r="I6" s="18">
        <v>50</v>
      </c>
      <c r="J6">
        <v>8</v>
      </c>
      <c r="K6" s="18">
        <v>400</v>
      </c>
      <c r="L6" s="18">
        <v>1799</v>
      </c>
    </row>
    <row r="7" spans="1:12" x14ac:dyDescent="0.25">
      <c r="A7">
        <v>3</v>
      </c>
      <c r="B7" s="2" t="s">
        <v>11</v>
      </c>
      <c r="C7" s="2" t="s">
        <v>14</v>
      </c>
      <c r="D7" s="2" t="s">
        <v>17</v>
      </c>
      <c r="E7" s="2" t="s">
        <v>19</v>
      </c>
      <c r="F7" s="2" t="s">
        <v>21</v>
      </c>
      <c r="G7" s="2" t="s">
        <v>25</v>
      </c>
      <c r="H7" s="2" t="s">
        <v>31</v>
      </c>
      <c r="I7" s="18">
        <v>500</v>
      </c>
      <c r="J7">
        <v>1</v>
      </c>
      <c r="K7" s="18">
        <v>500</v>
      </c>
      <c r="L7" s="18">
        <v>1799</v>
      </c>
    </row>
    <row r="11" spans="1:12" ht="18.75" x14ac:dyDescent="0.3">
      <c r="A11" s="24" t="s">
        <v>41</v>
      </c>
    </row>
    <row r="12" spans="1:12" x14ac:dyDescent="0.25">
      <c r="A12" s="5" t="s">
        <v>37</v>
      </c>
      <c r="B12" s="5"/>
      <c r="C12" s="5"/>
      <c r="D12" s="5">
        <f>COUNTA(A2:L7)</f>
        <v>72</v>
      </c>
    </row>
    <row r="13" spans="1:12" x14ac:dyDescent="0.25">
      <c r="A13" s="5" t="s">
        <v>40</v>
      </c>
      <c r="D13">
        <f>COUNTA(A2:A7,J2:J7)</f>
        <v>12</v>
      </c>
      <c r="E13" s="1">
        <f>D13*0.01</f>
        <v>0.12</v>
      </c>
    </row>
    <row r="14" spans="1:12" x14ac:dyDescent="0.25">
      <c r="A14" s="5" t="s">
        <v>39</v>
      </c>
      <c r="D14">
        <f>COUNTA(I2:I7,K2:L7)</f>
        <v>18</v>
      </c>
      <c r="E14" s="1">
        <f>D14*0.05</f>
        <v>0.9</v>
      </c>
    </row>
    <row r="15" spans="1:12" x14ac:dyDescent="0.25">
      <c r="A15" s="5" t="s">
        <v>38</v>
      </c>
      <c r="B15" s="5"/>
      <c r="C15" s="5"/>
      <c r="D15">
        <f>COUNTA(B2:H7)</f>
        <v>42</v>
      </c>
      <c r="E15" s="1">
        <f>D15*0.25</f>
        <v>10.5</v>
      </c>
    </row>
    <row r="16" spans="1:12" x14ac:dyDescent="0.25">
      <c r="E16" s="23">
        <f>SUM(E13:E15)</f>
        <v>11.52</v>
      </c>
    </row>
    <row r="19" spans="1:13" x14ac:dyDescent="0.25">
      <c r="A19">
        <v>0.01</v>
      </c>
      <c r="B19" s="2">
        <v>0.25</v>
      </c>
      <c r="C19" s="2">
        <v>0.25</v>
      </c>
      <c r="D19" s="2">
        <v>0.25</v>
      </c>
      <c r="E19" s="2">
        <v>0.25</v>
      </c>
      <c r="F19" s="2">
        <v>0.25</v>
      </c>
      <c r="G19" s="2">
        <v>0.25</v>
      </c>
      <c r="H19" s="2">
        <v>0.25</v>
      </c>
      <c r="I19" s="18">
        <v>0.05</v>
      </c>
      <c r="J19">
        <v>0.01</v>
      </c>
      <c r="K19" s="18">
        <v>0.05</v>
      </c>
      <c r="L19" s="18">
        <v>0.05</v>
      </c>
    </row>
    <row r="20" spans="1:13" ht="23.25" customHeight="1" x14ac:dyDescent="0.25">
      <c r="I20"/>
    </row>
    <row r="21" spans="1:13" ht="23.25" customHeight="1" x14ac:dyDescent="0.25"/>
    <row r="22" spans="1:13" ht="23.25" customHeight="1" x14ac:dyDescent="0.25"/>
    <row r="23" spans="1:13" ht="23.25" customHeight="1" x14ac:dyDescent="0.25"/>
    <row r="24" spans="1:13" ht="23.25" customHeight="1" x14ac:dyDescent="0.25"/>
    <row r="25" spans="1:13" ht="23.25" customHeight="1" x14ac:dyDescent="0.25"/>
    <row r="26" spans="1:13" x14ac:dyDescent="0.25">
      <c r="A26" s="1"/>
      <c r="B26" s="1"/>
      <c r="C26" s="1"/>
      <c r="D26" s="1"/>
      <c r="E26" s="1"/>
      <c r="F26" s="1"/>
      <c r="G26" s="1"/>
      <c r="H26" s="1"/>
      <c r="J26" s="1"/>
      <c r="M26" s="17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7932D-E6CD-4714-8226-4B99F3B63319}">
  <dimension ref="A1:L31"/>
  <sheetViews>
    <sheetView workbookViewId="0">
      <selection activeCell="A20" sqref="A20"/>
    </sheetView>
  </sheetViews>
  <sheetFormatPr defaultRowHeight="15" x14ac:dyDescent="0.25"/>
  <cols>
    <col min="1" max="1" width="7.5703125" bestFit="1" customWidth="1"/>
    <col min="2" max="2" width="12.140625" bestFit="1" customWidth="1"/>
    <col min="3" max="3" width="15" bestFit="1" customWidth="1"/>
    <col min="4" max="4" width="15.5703125" bestFit="1" customWidth="1"/>
    <col min="5" max="5" width="14" bestFit="1" customWidth="1"/>
    <col min="6" max="6" width="15" bestFit="1" customWidth="1"/>
    <col min="7" max="7" width="15.5703125" bestFit="1" customWidth="1"/>
    <col min="8" max="8" width="11" bestFit="1" customWidth="1"/>
    <col min="9" max="9" width="13.7109375" style="1" bestFit="1" customWidth="1"/>
    <col min="10" max="10" width="14" bestFit="1" customWidth="1"/>
    <col min="11" max="11" width="14.85546875" style="1" bestFit="1" customWidth="1"/>
    <col min="12" max="12" width="12.28515625" style="1" bestFit="1" customWidth="1"/>
  </cols>
  <sheetData>
    <row r="1" spans="1:11" x14ac:dyDescent="0.25">
      <c r="A1" s="6" t="s">
        <v>0</v>
      </c>
      <c r="B1" s="7" t="s">
        <v>32</v>
      </c>
      <c r="C1" s="7" t="s">
        <v>36</v>
      </c>
      <c r="D1" s="8" t="s">
        <v>34</v>
      </c>
      <c r="K1"/>
    </row>
    <row r="2" spans="1:11" x14ac:dyDescent="0.25">
      <c r="A2" s="9">
        <v>1</v>
      </c>
      <c r="B2">
        <v>1</v>
      </c>
      <c r="C2">
        <v>1</v>
      </c>
      <c r="D2" s="19">
        <v>899</v>
      </c>
      <c r="K2"/>
    </row>
    <row r="3" spans="1:11" x14ac:dyDescent="0.25">
      <c r="A3" s="9">
        <v>2</v>
      </c>
      <c r="B3">
        <v>2</v>
      </c>
      <c r="C3">
        <v>2</v>
      </c>
      <c r="D3" s="19">
        <v>849</v>
      </c>
      <c r="K3"/>
    </row>
    <row r="4" spans="1:11" x14ac:dyDescent="0.25">
      <c r="A4" s="10">
        <v>3</v>
      </c>
      <c r="B4" s="11">
        <v>3</v>
      </c>
      <c r="C4" s="11">
        <v>1</v>
      </c>
      <c r="D4" s="20">
        <v>1799</v>
      </c>
      <c r="K4"/>
    </row>
    <row r="6" spans="1:11" x14ac:dyDescent="0.25">
      <c r="A6" s="6" t="s">
        <v>33</v>
      </c>
      <c r="B6" s="7" t="s">
        <v>0</v>
      </c>
      <c r="C6" s="7" t="s">
        <v>7</v>
      </c>
      <c r="D6" s="12" t="s">
        <v>27</v>
      </c>
      <c r="E6" s="7" t="s">
        <v>8</v>
      </c>
      <c r="F6" s="13" t="s">
        <v>35</v>
      </c>
      <c r="H6" s="1"/>
    </row>
    <row r="7" spans="1:11" x14ac:dyDescent="0.25">
      <c r="A7" s="9">
        <v>1</v>
      </c>
      <c r="B7">
        <v>1</v>
      </c>
      <c r="C7" s="2" t="s">
        <v>26</v>
      </c>
      <c r="D7" s="21">
        <v>899</v>
      </c>
      <c r="E7">
        <v>1</v>
      </c>
      <c r="F7" s="19">
        <v>899</v>
      </c>
      <c r="G7" s="1"/>
      <c r="H7" s="1"/>
    </row>
    <row r="8" spans="1:11" x14ac:dyDescent="0.25">
      <c r="A8" s="9">
        <v>1</v>
      </c>
      <c r="B8">
        <v>2</v>
      </c>
      <c r="C8" s="2" t="s">
        <v>28</v>
      </c>
      <c r="D8" s="21">
        <v>699</v>
      </c>
      <c r="E8">
        <v>1</v>
      </c>
      <c r="F8" s="19">
        <v>699</v>
      </c>
      <c r="G8" s="1"/>
      <c r="H8" s="1"/>
    </row>
    <row r="9" spans="1:11" x14ac:dyDescent="0.25">
      <c r="A9" s="9">
        <v>2</v>
      </c>
      <c r="B9">
        <v>2</v>
      </c>
      <c r="C9" s="2" t="s">
        <v>29</v>
      </c>
      <c r="D9" s="21">
        <v>50</v>
      </c>
      <c r="E9">
        <v>3</v>
      </c>
      <c r="F9" s="19">
        <v>150</v>
      </c>
      <c r="G9" s="1"/>
      <c r="H9" s="1"/>
    </row>
    <row r="10" spans="1:11" x14ac:dyDescent="0.25">
      <c r="A10" s="9">
        <v>1</v>
      </c>
      <c r="B10">
        <v>3</v>
      </c>
      <c r="C10" s="2" t="s">
        <v>26</v>
      </c>
      <c r="D10" s="21">
        <v>899</v>
      </c>
      <c r="E10">
        <v>1</v>
      </c>
      <c r="F10" s="19">
        <v>899</v>
      </c>
      <c r="G10" s="1"/>
      <c r="H10" s="1"/>
    </row>
    <row r="11" spans="1:11" x14ac:dyDescent="0.25">
      <c r="A11" s="9">
        <v>2</v>
      </c>
      <c r="B11">
        <v>3</v>
      </c>
      <c r="C11" s="2" t="s">
        <v>29</v>
      </c>
      <c r="D11" s="21">
        <v>50</v>
      </c>
      <c r="E11">
        <v>8</v>
      </c>
      <c r="F11" s="19">
        <v>400</v>
      </c>
      <c r="G11" s="1"/>
      <c r="H11" s="1"/>
    </row>
    <row r="12" spans="1:11" x14ac:dyDescent="0.25">
      <c r="A12" s="10">
        <v>3</v>
      </c>
      <c r="B12" s="11">
        <v>3</v>
      </c>
      <c r="C12" s="14" t="s">
        <v>31</v>
      </c>
      <c r="D12" s="22">
        <v>500</v>
      </c>
      <c r="E12" s="11">
        <v>1</v>
      </c>
      <c r="F12" s="20">
        <v>500</v>
      </c>
      <c r="G12" s="1"/>
      <c r="H12" s="1"/>
    </row>
    <row r="14" spans="1:11" x14ac:dyDescent="0.25">
      <c r="A14" s="6" t="s">
        <v>32</v>
      </c>
      <c r="B14" s="7" t="s">
        <v>1</v>
      </c>
      <c r="C14" s="7" t="s">
        <v>2</v>
      </c>
      <c r="D14" s="8" t="s">
        <v>5</v>
      </c>
    </row>
    <row r="15" spans="1:11" x14ac:dyDescent="0.25">
      <c r="A15" s="9">
        <v>1</v>
      </c>
      <c r="B15" s="2" t="s">
        <v>10</v>
      </c>
      <c r="C15" s="2" t="s">
        <v>12</v>
      </c>
      <c r="D15" s="15" t="s">
        <v>15</v>
      </c>
    </row>
    <row r="16" spans="1:11" x14ac:dyDescent="0.25">
      <c r="A16" s="9">
        <v>2</v>
      </c>
      <c r="B16" s="2" t="s">
        <v>9</v>
      </c>
      <c r="C16" s="2" t="s">
        <v>13</v>
      </c>
      <c r="D16" s="15" t="s">
        <v>16</v>
      </c>
    </row>
    <row r="17" spans="1:5" x14ac:dyDescent="0.25">
      <c r="A17" s="10">
        <v>3</v>
      </c>
      <c r="B17" s="14" t="s">
        <v>11</v>
      </c>
      <c r="C17" s="14" t="s">
        <v>14</v>
      </c>
      <c r="D17" s="16" t="s">
        <v>18</v>
      </c>
    </row>
    <row r="19" spans="1:5" x14ac:dyDescent="0.25">
      <c r="A19" s="6" t="s">
        <v>36</v>
      </c>
      <c r="B19" s="7" t="s">
        <v>3</v>
      </c>
      <c r="C19" s="7" t="s">
        <v>4</v>
      </c>
      <c r="D19" s="8" t="s">
        <v>6</v>
      </c>
    </row>
    <row r="20" spans="1:5" x14ac:dyDescent="0.25">
      <c r="A20" s="9">
        <v>1</v>
      </c>
      <c r="B20" s="2" t="s">
        <v>19</v>
      </c>
      <c r="C20" s="2" t="s">
        <v>21</v>
      </c>
      <c r="D20" s="15" t="s">
        <v>23</v>
      </c>
    </row>
    <row r="21" spans="1:5" x14ac:dyDescent="0.25">
      <c r="A21" s="10">
        <v>2</v>
      </c>
      <c r="B21" s="14" t="s">
        <v>20</v>
      </c>
      <c r="C21" s="14" t="s">
        <v>22</v>
      </c>
      <c r="D21" s="16" t="s">
        <v>24</v>
      </c>
    </row>
    <row r="26" spans="1:5" ht="18.75" x14ac:dyDescent="0.3">
      <c r="A26" s="24" t="s">
        <v>42</v>
      </c>
    </row>
    <row r="27" spans="1:5" x14ac:dyDescent="0.25">
      <c r="A27" s="5" t="s">
        <v>37</v>
      </c>
      <c r="B27" s="5"/>
      <c r="C27" s="5"/>
      <c r="D27" s="5">
        <f>COUNTA(A2:D4,A7:F12,A15:D17,A20:D21)</f>
        <v>68</v>
      </c>
      <c r="E27" s="3"/>
    </row>
    <row r="28" spans="1:5" x14ac:dyDescent="0.25">
      <c r="A28" s="5" t="s">
        <v>40</v>
      </c>
      <c r="D28">
        <f>COUNTA(A2:C4,A7:B12,E7:E12,A15:A17,A20:A21)</f>
        <v>32</v>
      </c>
      <c r="E28" s="1">
        <f>D28*0.01</f>
        <v>0.32</v>
      </c>
    </row>
    <row r="29" spans="1:5" x14ac:dyDescent="0.25">
      <c r="A29" s="5" t="s">
        <v>39</v>
      </c>
      <c r="D29">
        <f>COUNTA(D2:D4,D7:D12,F7:F12)</f>
        <v>15</v>
      </c>
      <c r="E29" s="1">
        <f>D29*0.05</f>
        <v>0.75</v>
      </c>
    </row>
    <row r="30" spans="1:5" x14ac:dyDescent="0.25">
      <c r="A30" s="5" t="s">
        <v>38</v>
      </c>
      <c r="B30" s="5"/>
      <c r="C30" s="5"/>
      <c r="D30">
        <f>COUNTA(C7:C12,B15:D17,B20:D21)</f>
        <v>21</v>
      </c>
      <c r="E30" s="1">
        <f>D30*0.25</f>
        <v>5.25</v>
      </c>
    </row>
    <row r="31" spans="1:5" x14ac:dyDescent="0.25">
      <c r="E31" s="23">
        <f>SUM(E28:E30)</f>
        <v>6.32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629734-350C-4CDF-ABF0-822A750E62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C9C775-FC28-4121-95A7-506BB78867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A1CB7A-F682-474E-A1C0-568C86789C47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flat table</vt:lpstr>
      <vt:lpstr>related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Bess Hambleton</cp:lastModifiedBy>
  <dcterms:created xsi:type="dcterms:W3CDTF">2026-02-16T17:40:53Z</dcterms:created>
  <dcterms:modified xsi:type="dcterms:W3CDTF">2026-04-13T22:06:07Z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